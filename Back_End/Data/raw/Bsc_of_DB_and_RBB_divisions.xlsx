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MS\CBE_PMS_PROJECT\scripts\Data_Ingestion\Data\raw\"/>
    </mc:Choice>
  </mc:AlternateContent>
  <xr:revisionPtr revIDLastSave="0" documentId="13_ncr:1_{F749217C-14A6-4106-BCA5-BB161B5C268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 RBB 2025.2026" sheetId="1" r:id="rId1"/>
    <sheet name="Digital 2025.2026" sheetId="2" r:id="rId2"/>
    <sheet name="RBB 2024.2025" sheetId="3" r:id="rId3"/>
    <sheet name="Digital 2024.2025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4" l="1"/>
  <c r="Y34" i="4" s="1"/>
  <c r="C31" i="4"/>
  <c r="W30" i="4"/>
  <c r="X30" i="4" s="1"/>
  <c r="Y30" i="4" s="1"/>
  <c r="E30" i="4"/>
  <c r="W29" i="4"/>
  <c r="X29" i="4" s="1"/>
  <c r="E29" i="4"/>
  <c r="W28" i="4"/>
  <c r="X28" i="4" s="1"/>
  <c r="Y28" i="4" s="1"/>
  <c r="I28" i="4"/>
  <c r="W27" i="4"/>
  <c r="X27" i="4" s="1"/>
  <c r="E27" i="4"/>
  <c r="X26" i="4"/>
  <c r="Y26" i="4" s="1"/>
  <c r="V25" i="4"/>
  <c r="I25" i="4"/>
  <c r="X24" i="4"/>
  <c r="Y24" i="4" s="1"/>
  <c r="X23" i="4"/>
  <c r="Y23" i="4" s="1"/>
  <c r="X22" i="4"/>
  <c r="Y22" i="4" s="1"/>
  <c r="X21" i="4"/>
  <c r="Y21" i="4" s="1"/>
  <c r="I21" i="4"/>
  <c r="X20" i="4"/>
  <c r="Y20" i="4" s="1"/>
  <c r="X19" i="4"/>
  <c r="Y19" i="4" s="1"/>
  <c r="X18" i="4"/>
  <c r="Y18" i="4" s="1"/>
  <c r="X17" i="4"/>
  <c r="Y17" i="4" s="1"/>
  <c r="I17" i="4"/>
  <c r="X16" i="4"/>
  <c r="Y16" i="4" s="1"/>
  <c r="I16" i="4"/>
  <c r="H16" i="4"/>
  <c r="X15" i="4"/>
  <c r="Y15" i="4" s="1"/>
  <c r="I15" i="4"/>
  <c r="X14" i="4"/>
  <c r="Y14" i="4" s="1"/>
  <c r="X13" i="4"/>
  <c r="Y13" i="4" s="1"/>
  <c r="X12" i="4"/>
  <c r="Y12" i="4" s="1"/>
  <c r="X11" i="4"/>
  <c r="Y11" i="4" s="1"/>
  <c r="X10" i="4"/>
  <c r="Y10" i="4" s="1"/>
  <c r="X9" i="4"/>
  <c r="Y9" i="4" s="1"/>
  <c r="I9" i="4"/>
  <c r="X8" i="4"/>
  <c r="Y8" i="4" s="1"/>
  <c r="I8" i="4"/>
  <c r="H8" i="4"/>
  <c r="X7" i="4"/>
  <c r="Y7" i="4" s="1"/>
  <c r="I7" i="4"/>
  <c r="V5" i="4"/>
  <c r="A2" i="4"/>
  <c r="Y44" i="3"/>
  <c r="Y45" i="3" s="1"/>
  <c r="C42" i="3"/>
  <c r="W41" i="3"/>
  <c r="X41" i="3" s="1"/>
  <c r="E41" i="3"/>
  <c r="W40" i="3"/>
  <c r="X40" i="3" s="1"/>
  <c r="E40" i="3"/>
  <c r="W39" i="3"/>
  <c r="X39" i="3" s="1"/>
  <c r="Y39" i="3" s="1"/>
  <c r="E39" i="3"/>
  <c r="W38" i="3"/>
  <c r="X38" i="3" s="1"/>
  <c r="Y38" i="3" s="1"/>
  <c r="I38" i="3"/>
  <c r="X37" i="3"/>
  <c r="Y37" i="3" s="1"/>
  <c r="I37" i="3"/>
  <c r="X36" i="3"/>
  <c r="Y36" i="3" s="1"/>
  <c r="I36" i="3"/>
  <c r="X35" i="3"/>
  <c r="Y35" i="3" s="1"/>
  <c r="I35" i="3"/>
  <c r="X34" i="3"/>
  <c r="Y34" i="3" s="1"/>
  <c r="I34" i="3"/>
  <c r="X33" i="3"/>
  <c r="Y33" i="3" s="1"/>
  <c r="I33" i="3"/>
  <c r="X32" i="3"/>
  <c r="Y32" i="3" s="1"/>
  <c r="X31" i="3"/>
  <c r="Y31" i="3" s="1"/>
  <c r="I31" i="3"/>
  <c r="X30" i="3"/>
  <c r="Y30" i="3" s="1"/>
  <c r="I30" i="3"/>
  <c r="X29" i="3"/>
  <c r="Y29" i="3" s="1"/>
  <c r="I29" i="3"/>
  <c r="X28" i="3"/>
  <c r="Y28" i="3" s="1"/>
  <c r="I28" i="3"/>
  <c r="X27" i="3"/>
  <c r="Y27" i="3" s="1"/>
  <c r="I27" i="3"/>
  <c r="X26" i="3"/>
  <c r="Y26" i="3" s="1"/>
  <c r="I26" i="3"/>
  <c r="X25" i="3"/>
  <c r="Y25" i="3" s="1"/>
  <c r="X24" i="3"/>
  <c r="Y24" i="3" s="1"/>
  <c r="I24" i="3"/>
  <c r="X23" i="3"/>
  <c r="Y23" i="3" s="1"/>
  <c r="H23" i="3"/>
  <c r="X22" i="3"/>
  <c r="Y22" i="3" s="1"/>
  <c r="X21" i="3"/>
  <c r="Y21" i="3" s="1"/>
  <c r="U21" i="3"/>
  <c r="T21" i="3"/>
  <c r="N21" i="3"/>
  <c r="M21" i="3"/>
  <c r="L21" i="3"/>
  <c r="W20" i="3"/>
  <c r="V20" i="3"/>
  <c r="W19" i="3"/>
  <c r="X19" i="3" s="1"/>
  <c r="Y19" i="3" s="1"/>
  <c r="X18" i="3"/>
  <c r="Y18" i="3" s="1"/>
  <c r="X17" i="3"/>
  <c r="Y17" i="3" s="1"/>
  <c r="I17" i="3"/>
  <c r="X16" i="3"/>
  <c r="Y16" i="3" s="1"/>
  <c r="I16" i="3"/>
  <c r="X15" i="3"/>
  <c r="Y15" i="3" s="1"/>
  <c r="I15" i="3"/>
  <c r="H15" i="3"/>
  <c r="X14" i="3"/>
  <c r="Y14" i="3" s="1"/>
  <c r="U14" i="3"/>
  <c r="T14" i="3"/>
  <c r="S14" i="3"/>
  <c r="R14" i="3"/>
  <c r="Q14" i="3"/>
  <c r="P14" i="3"/>
  <c r="O14" i="3"/>
  <c r="N14" i="3"/>
  <c r="M14" i="3"/>
  <c r="L14" i="3"/>
  <c r="K14" i="3"/>
  <c r="J14" i="3"/>
  <c r="I14" i="3" s="1"/>
  <c r="X13" i="3"/>
  <c r="Y13" i="3" s="1"/>
  <c r="U13" i="3"/>
  <c r="T13" i="3"/>
  <c r="S13" i="3"/>
  <c r="R13" i="3"/>
  <c r="Q13" i="3"/>
  <c r="P13" i="3"/>
  <c r="O13" i="3"/>
  <c r="N13" i="3"/>
  <c r="M13" i="3"/>
  <c r="L13" i="3"/>
  <c r="K13" i="3"/>
  <c r="J13" i="3"/>
  <c r="X12" i="3"/>
  <c r="Y12" i="3" s="1"/>
  <c r="U12" i="3"/>
  <c r="T12" i="3"/>
  <c r="S12" i="3"/>
  <c r="R12" i="3"/>
  <c r="Q12" i="3"/>
  <c r="P12" i="3"/>
  <c r="O12" i="3"/>
  <c r="N12" i="3"/>
  <c r="M12" i="3"/>
  <c r="L12" i="3"/>
  <c r="K12" i="3"/>
  <c r="J12" i="3"/>
  <c r="X11" i="3"/>
  <c r="Y11" i="3" s="1"/>
  <c r="U11" i="3"/>
  <c r="T11" i="3"/>
  <c r="S11" i="3"/>
  <c r="S21" i="3" s="1"/>
  <c r="R11" i="3"/>
  <c r="R21" i="3" s="1"/>
  <c r="Q11" i="3"/>
  <c r="Q21" i="3" s="1"/>
  <c r="P11" i="3"/>
  <c r="P21" i="3" s="1"/>
  <c r="O11" i="3"/>
  <c r="O21" i="3" s="1"/>
  <c r="N11" i="3"/>
  <c r="M11" i="3"/>
  <c r="L11" i="3"/>
  <c r="K11" i="3"/>
  <c r="K21" i="3" s="1"/>
  <c r="J11" i="3"/>
  <c r="X10" i="3"/>
  <c r="Y10" i="3" s="1"/>
  <c r="I10" i="3"/>
  <c r="X9" i="3"/>
  <c r="Y9" i="3" s="1"/>
  <c r="I9" i="3"/>
  <c r="X8" i="3"/>
  <c r="Y8" i="3" s="1"/>
  <c r="V7" i="3"/>
  <c r="X7" i="3" s="1"/>
  <c r="Y7" i="3" s="1"/>
  <c r="V5" i="3"/>
  <c r="A2" i="3"/>
  <c r="M39" i="2"/>
  <c r="N39" i="2" s="1"/>
  <c r="M38" i="2"/>
  <c r="N38" i="2" s="1"/>
  <c r="M37" i="2"/>
  <c r="N37" i="2" s="1"/>
  <c r="M36" i="2"/>
  <c r="N36" i="2" s="1"/>
  <c r="M35" i="2"/>
  <c r="N35" i="2" s="1"/>
  <c r="M34" i="2"/>
  <c r="N34" i="2" s="1"/>
  <c r="M33" i="2"/>
  <c r="N33" i="2" s="1"/>
  <c r="M32" i="2"/>
  <c r="N32" i="2" s="1"/>
  <c r="N31" i="2"/>
  <c r="M31" i="2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K1" i="2"/>
  <c r="N24" i="1"/>
  <c r="N21" i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N14" i="1"/>
  <c r="M14" i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K1" i="1"/>
  <c r="I13" i="3" l="1"/>
  <c r="Y40" i="3"/>
  <c r="Y41" i="3"/>
  <c r="Y29" i="4"/>
  <c r="I11" i="3"/>
  <c r="I12" i="3"/>
  <c r="Y27" i="4"/>
  <c r="X25" i="4"/>
  <c r="Y25" i="4" s="1"/>
  <c r="X20" i="3"/>
  <c r="Y20" i="3" s="1"/>
  <c r="Y42" i="3" s="1"/>
  <c r="Y49" i="3" s="1"/>
  <c r="Y43" i="3" s="1"/>
  <c r="Y46" i="3" s="1"/>
  <c r="J21" i="3"/>
  <c r="N25" i="1"/>
  <c r="N22" i="1" s="1"/>
  <c r="Y31" i="4" l="1"/>
  <c r="Y38" i="4" s="1"/>
  <c r="Y32" i="4" s="1"/>
  <c r="Y35" i="4" s="1"/>
</calcChain>
</file>

<file path=xl/sharedStrings.xml><?xml version="1.0" encoding="utf-8"?>
<sst xmlns="http://schemas.openxmlformats.org/spreadsheetml/2006/main" count="626" uniqueCount="217">
  <si>
    <t>Commercial Bank of Ethiopia</t>
  </si>
  <si>
    <t>Retail and Branch Banking Division</t>
  </si>
  <si>
    <t>Strategic  Objectives</t>
  </si>
  <si>
    <t>Major - KPI</t>
  </si>
  <si>
    <t>Measurement</t>
  </si>
  <si>
    <t>Weight 
(%)</t>
  </si>
  <si>
    <t>Target
Threshold</t>
  </si>
  <si>
    <t xml:space="preserve">Target for
 full point </t>
  </si>
  <si>
    <t>Baseline</t>
  </si>
  <si>
    <t xml:space="preserve"> Plan</t>
  </si>
  <si>
    <t>Actual</t>
  </si>
  <si>
    <t>Plan</t>
  </si>
  <si>
    <t>%Acc.</t>
  </si>
  <si>
    <t>Score</t>
  </si>
  <si>
    <t>Enhance Deposit Mobilization</t>
  </si>
  <si>
    <t>Deposit from Retail Customers</t>
  </si>
  <si>
    <t>Million birr</t>
  </si>
  <si>
    <t>Min. of the target</t>
  </si>
  <si>
    <t>Of the target</t>
  </si>
  <si>
    <t>Enhance Customer Value</t>
  </si>
  <si>
    <t>Mobilize 0.3% of the annual deposit Plan from accounts with balance ≥100&lt;1k=(Minimum Standard Accounts Group)</t>
  </si>
  <si>
    <t>Mobilize 53.4% of the annual deposit Plan from accounts with balance ≥1k&lt;1m=(Small and Sufficiently Valuable Accounts Group)</t>
  </si>
  <si>
    <t>Mobilize 41.3% of the annual deposit Plan from accounts with balance ≥1m&lt;50m=(core Value Accounts Group)</t>
  </si>
  <si>
    <t>Mobilize 5% of the annual deposit Plan from accounts with balance ≥50m=(Specially High Value Accounts Group)</t>
  </si>
  <si>
    <t>Increase FCY Earning</t>
  </si>
  <si>
    <t>Remittance</t>
  </si>
  <si>
    <t>Thousand USD</t>
  </si>
  <si>
    <t>FCY Purchase</t>
  </si>
  <si>
    <t>Ensure Prudent Resource Allocation</t>
  </si>
  <si>
    <t>Loan Disbursement</t>
  </si>
  <si>
    <t>Ensure Financial Soundness</t>
  </si>
  <si>
    <t>Loan Collection</t>
  </si>
  <si>
    <t>NPL Ratio</t>
  </si>
  <si>
    <t>%</t>
  </si>
  <si>
    <t>Max. of the target</t>
  </si>
  <si>
    <t>Increase income</t>
  </si>
  <si>
    <t>Non interest income</t>
  </si>
  <si>
    <t>Manage Operational Expense</t>
  </si>
  <si>
    <t>Operational Expense</t>
  </si>
  <si>
    <t>Max. of the budget</t>
  </si>
  <si>
    <t>Of the budget</t>
  </si>
  <si>
    <t>Increase Customer Base</t>
  </si>
  <si>
    <t>New Retail Deposit Customer recruitment</t>
  </si>
  <si>
    <t>Number</t>
  </si>
  <si>
    <t>Active Retail Deposit Customer</t>
  </si>
  <si>
    <t>New Borrower Recruitment (Number)</t>
  </si>
  <si>
    <t>Enhance Customer Experience</t>
  </si>
  <si>
    <t>Customer satisfaction rate</t>
  </si>
  <si>
    <t>Min. of the baseline</t>
  </si>
  <si>
    <t>&gt;80%</t>
  </si>
  <si>
    <t>Enhance Employee competency</t>
  </si>
  <si>
    <t>Employee satisfaction score</t>
  </si>
  <si>
    <t>Employee engagement score</t>
  </si>
  <si>
    <t>TOTAL</t>
  </si>
  <si>
    <t>From 60%</t>
  </si>
  <si>
    <t>Division's share from the corporate scorecard results is 40%</t>
  </si>
  <si>
    <t>Corporate from 100%</t>
  </si>
  <si>
    <t>Corporate from 40%</t>
  </si>
  <si>
    <t>Total Division's Score</t>
  </si>
  <si>
    <t>FINAL SCORE</t>
  </si>
  <si>
    <t>Not Rated</t>
  </si>
  <si>
    <t>From 100</t>
  </si>
  <si>
    <t>Digital Banking Division</t>
  </si>
  <si>
    <t>Enhance resource mobilization from Digital channels</t>
  </si>
  <si>
    <t>Amount Mobilization from Acquiring International Cards on ATMs</t>
  </si>
  <si>
    <t>of the target</t>
  </si>
  <si>
    <t>Amount FCY mobilized through relationships with remittance partners and remittance services, agents abroad</t>
  </si>
  <si>
    <t>Increase income from digital channels</t>
  </si>
  <si>
    <t>Income From Digital Banking</t>
  </si>
  <si>
    <t>Enhance digital channel utilization</t>
  </si>
  <si>
    <t>New Active card banking users recruitment</t>
  </si>
  <si>
    <t>Active card banking users Incremental</t>
  </si>
  <si>
    <t>Active card banking users</t>
  </si>
  <si>
    <t>New Active mobile banking users recruitment</t>
  </si>
  <si>
    <t>Active mobile banking users Incremental</t>
  </si>
  <si>
    <t>Active mobile banking users</t>
  </si>
  <si>
    <t>New Active internet banking users recruitment</t>
  </si>
  <si>
    <t>Active internet banking users Incremental</t>
  </si>
  <si>
    <t>Active internet banking users</t>
  </si>
  <si>
    <t>New Active CBE-Birr users recruitment</t>
  </si>
  <si>
    <t>Active CBE-Birr Users Incremental</t>
  </si>
  <si>
    <t>Active CBE-Birr Users</t>
  </si>
  <si>
    <t>Digital Transaction</t>
  </si>
  <si>
    <t>Enhance Accessibility</t>
  </si>
  <si>
    <t>ATM Deployed</t>
  </si>
  <si>
    <t>POS deployed</t>
  </si>
  <si>
    <t>Digital Branches opened</t>
  </si>
  <si>
    <t>New Active agents recruitment</t>
  </si>
  <si>
    <t>Active Agents Incremental</t>
  </si>
  <si>
    <t>Active Agents</t>
  </si>
  <si>
    <t>New Active CBE-Birr Merchants recruitment</t>
  </si>
  <si>
    <t>Active CBE-Birr Merchants Incremental</t>
  </si>
  <si>
    <t>Active CBE-Birr Merchants</t>
  </si>
  <si>
    <t>Third parties integration</t>
  </si>
  <si>
    <t>Enhance process efficiency and effectiveness</t>
  </si>
  <si>
    <t>Minimized ATM Down time because of hard fault</t>
  </si>
  <si>
    <t>Maximum</t>
  </si>
  <si>
    <t>&lt;4.81%</t>
  </si>
  <si>
    <t>-%</t>
  </si>
  <si>
    <t>Enhance digital channels functionality</t>
  </si>
  <si>
    <t>Features added on existing digital channels</t>
  </si>
  <si>
    <t>of the budget</t>
  </si>
  <si>
    <t>Customer satisfaction score on ATM</t>
  </si>
  <si>
    <t>Customer satisfaction score on POS</t>
  </si>
  <si>
    <t>Customer satisfaction score on Mobile Banking</t>
  </si>
  <si>
    <t>Customer satisfaction score on CBE-Birr</t>
  </si>
  <si>
    <t>Customer satisfaction score on Internet Banking</t>
  </si>
  <si>
    <t>Enhance information system protection and Awareness creation related with fraud</t>
  </si>
  <si>
    <t>Fraud alerts and notifications via SMS about common fraud schemes to the customers</t>
  </si>
  <si>
    <t>Employee satisfaction Score</t>
  </si>
  <si>
    <t>&gt;=baseline</t>
  </si>
  <si>
    <t>Employee engagement Score</t>
  </si>
  <si>
    <t>From 70%</t>
  </si>
  <si>
    <t>Division's share from the corporate scorecard results is 30%</t>
  </si>
  <si>
    <t>Corporate from 30%</t>
  </si>
  <si>
    <t>2024/2025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</si>
  <si>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</si>
  <si>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</si>
  <si>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</si>
  <si>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</si>
  <si>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</si>
  <si>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</si>
  <si>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</si>
  <si>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</si>
  <si>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</si>
  <si>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</si>
  <si>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</si>
  <si>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</si>
  <si>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Ensure Sustainable  Profitability</t>
  </si>
  <si>
    <t>Economically profitable branches</t>
  </si>
  <si>
    <t>Of the Target</t>
  </si>
  <si>
    <t>Enhance  Resource Mobilization</t>
  </si>
  <si>
    <t>Deposit from Retail Customers(in billion birr)</t>
  </si>
  <si>
    <t>Deposit from Wholesale Customers(in billion birr)</t>
  </si>
  <si>
    <t>Deposit from CBE NOOR Customers( in billion birr)</t>
  </si>
  <si>
    <t>Mobilize 2% of the annual deposit Plan from accounts with balance ≥100&lt;1k=(Minimum Standard Accounts Group) (in million birr)</t>
  </si>
  <si>
    <t xml:space="preserve">Mobilize 21% of the annual deposit Plan from accounts with balance ≥1k&lt;1m=(core accounts)( in million birr) </t>
  </si>
  <si>
    <r>
      <rPr>
        <i/>
        <sz val="10"/>
        <rFont val="Times New Roman"/>
        <family val="1"/>
      </rPr>
      <t>Mobilize 48% of the annual deposit Plan from accounts with balance ≥1m&lt;50m</t>
    </r>
    <r>
      <rPr>
        <b/>
        <i/>
        <sz val="10"/>
        <rFont val="Times New Roman"/>
        <family val="1"/>
      </rPr>
      <t>=(High Value Accounts Group)</t>
    </r>
    <r>
      <rPr>
        <i/>
        <sz val="10"/>
        <rFont val="Times New Roman"/>
        <family val="1"/>
      </rPr>
      <t xml:space="preserve"> (million birr)</t>
    </r>
  </si>
  <si>
    <t>Mobilize 29% of the annual deposit Plan from accounts with balance ≥50m=(Specially High Value Accounts Group) (in million birr)</t>
  </si>
  <si>
    <t>FCY Earning (in mn USD)</t>
  </si>
  <si>
    <t>Loan Collection (in Mn birr)</t>
  </si>
  <si>
    <t>Loan Disbursement (in billion birr)</t>
  </si>
  <si>
    <t>Insure Financial Soundness</t>
  </si>
  <si>
    <t xml:space="preserve">NPL ratio </t>
  </si>
  <si>
    <t>Reverse %Acc.</t>
  </si>
  <si>
    <t>Long receivable (in % ratio)</t>
  </si>
  <si>
    <t>≤2.5%</t>
  </si>
  <si>
    <t>Operational Expense (in 000 Birr )</t>
  </si>
  <si>
    <t>Reverse Score</t>
  </si>
  <si>
    <t>Graduate 30% of Minimum Accounts Group to the Higher Account Group</t>
  </si>
  <si>
    <t>Graduate 35% of core Savers Accounts to next higher group</t>
  </si>
  <si>
    <t>Graduate 7% of High Value  Accounts Group to the next higher group</t>
  </si>
  <si>
    <t>Acitivated inactive accounts</t>
  </si>
  <si>
    <t>New Deposit Customer recruitment(in 000)</t>
  </si>
  <si>
    <t xml:space="preserve">
3,559,741</t>
  </si>
  <si>
    <t>Enhance  Digital  Banking Users Expansion</t>
  </si>
  <si>
    <t xml:space="preserve">New Active MB users </t>
  </si>
  <si>
    <t xml:space="preserve">New Active CB users </t>
  </si>
  <si>
    <t xml:space="preserve">New Active IB users </t>
  </si>
  <si>
    <t xml:space="preserve">New Active CBE Birr Customer </t>
  </si>
  <si>
    <t xml:space="preserve">New Active CBE Birr Agent </t>
  </si>
  <si>
    <t xml:space="preserve"> New Active CBE Birr Merchant </t>
  </si>
  <si>
    <t>Enhance  Digital Banking  users Utilization Rate</t>
  </si>
  <si>
    <t xml:space="preserve"> Card Banking Users Utilization rate </t>
  </si>
  <si>
    <t xml:space="preserve"> Mobile Banking Users Utilization rate</t>
  </si>
  <si>
    <t xml:space="preserve">Internet Banking Users Utilization rate </t>
  </si>
  <si>
    <t xml:space="preserve">CBE-Birr Users Utilization rate </t>
  </si>
  <si>
    <t>Enhance  Digital Banking users Activation Rate</t>
  </si>
  <si>
    <t xml:space="preserve">CBE-Birr Agent Activation rate </t>
  </si>
  <si>
    <t xml:space="preserve"> CBE-Birr Merchant Activation rate </t>
  </si>
  <si>
    <t xml:space="preserve"> POS Merchant Activation rate</t>
  </si>
  <si>
    <t>Enhance Customer Satisfaction</t>
  </si>
  <si>
    <t xml:space="preserve">Customer satisfaction rate </t>
  </si>
  <si>
    <t>Min. baseline</t>
  </si>
  <si>
    <t>Enhance  Employee competency</t>
  </si>
  <si>
    <t xml:space="preserve">Employee satisfaction score </t>
  </si>
  <si>
    <t xml:space="preserve">Employee engagement score </t>
  </si>
  <si>
    <t xml:space="preserve">Enhance FCY earning  from Digital channels </t>
  </si>
  <si>
    <t xml:space="preserve">FCY earned via digital channels (In000) 
</t>
  </si>
  <si>
    <t>Min.of the target</t>
  </si>
  <si>
    <t xml:space="preserve">Increase income from digital channels </t>
  </si>
  <si>
    <t>Income From Digital Banking (In million birr)</t>
  </si>
  <si>
    <t>Enhance Relationship with third party (international payment networks and digital remittance providers)</t>
  </si>
  <si>
    <t>FCY moblized (In 000 USD)</t>
  </si>
  <si>
    <t>of total target</t>
  </si>
  <si>
    <t xml:space="preserve">  </t>
  </si>
  <si>
    <t>Enhance digital channel  utilization</t>
  </si>
  <si>
    <t xml:space="preserve">Active Card Banking users </t>
  </si>
  <si>
    <t>Min.  of the target</t>
  </si>
  <si>
    <t xml:space="preserve">Active MB Users </t>
  </si>
  <si>
    <t xml:space="preserve">Active IB Users </t>
  </si>
  <si>
    <t>%age of Digital Transaction</t>
  </si>
  <si>
    <t xml:space="preserve">ATM Deployed </t>
  </si>
  <si>
    <t xml:space="preserve"> POS deployed</t>
  </si>
  <si>
    <t>-</t>
  </si>
  <si>
    <t>New Super Agents recruited</t>
  </si>
  <si>
    <t>Active CBEBirr Merchants</t>
  </si>
  <si>
    <t xml:space="preserve">Number of new digital partners </t>
  </si>
  <si>
    <t xml:space="preserve">Enhance process efficiency and effectiveness </t>
  </si>
  <si>
    <t xml:space="preserve">Minimized ATM Down time because of hard fault </t>
  </si>
  <si>
    <t>Max.</t>
  </si>
  <si>
    <t>Ontime Card Production and Delivery</t>
  </si>
  <si>
    <t>Min.  of target</t>
  </si>
  <si>
    <t xml:space="preserve">Enhance digital channels functionality </t>
  </si>
  <si>
    <t xml:space="preserve">Number of features added on existing digital channels </t>
  </si>
  <si>
    <t xml:space="preserve">Manage  Operational  Expense   </t>
  </si>
  <si>
    <t>Operational Expense  (in '000 birr)</t>
  </si>
  <si>
    <t>Max.of of the Budget</t>
  </si>
  <si>
    <t>Max. of the Budget</t>
  </si>
  <si>
    <t>Ensure financial Soundness</t>
  </si>
  <si>
    <t xml:space="preserve">% of Long receivable amount </t>
  </si>
  <si>
    <r>
      <rPr>
        <i/>
        <sz val="10"/>
        <color rgb="FF000000"/>
        <rFont val="Times New Roman"/>
        <family val="1"/>
      </rPr>
      <t>Increase service quality</t>
    </r>
    <r>
      <rPr>
        <i/>
        <sz val="10"/>
        <color theme="1"/>
        <rFont val="Times New Roman"/>
        <family val="1"/>
      </rPr>
      <t xml:space="preserve"> </t>
    </r>
  </si>
  <si>
    <t xml:space="preserve">*Average Customer satisfaction score on digital channels  </t>
  </si>
  <si>
    <t xml:space="preserve"> fraud alerts and notifications via SMS about common fraud schemes to the customers</t>
  </si>
  <si>
    <t xml:space="preserve">Employee satisfaction </t>
  </si>
  <si>
    <t>Employee engagement</t>
  </si>
  <si>
    <t xml:space="preserve">*Internet Banking , Mobile Banking, CBE Birr, ATM, Point of sale(POS)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</si>
</sst>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#,##0.000"/>
    <numFmt numFmtId="168" formatCode="#,##0.0"/>
    <numFmt numFmtId="169" formatCode="_(* #,##0_);_(* \(#,##0\);_(* &quot;-&quot;??_);_(@_)"/>
    <numFmt numFmtId="170" formatCode="_-* #,##0.00_-;\-* #,##0.00_-;_-* &quot;-&quot;??_-;_-@"/>
    <numFmt numFmtId="171" formatCode="0.0_);[Red]\(0.0\)"/>
    <numFmt numFmtId="172" formatCode="0.00_);[Red]\(0.00\)"/>
    <numFmt numFmtId="173" formatCode="0.0"/>
    <numFmt numFmtId="174" formatCode="_-* #,##0.0_-;\-* #,##0.0_-;_-* &quot;-&quot;??_-;_-@_-"/>
    <numFmt numFmtId="175" formatCode="_(* #,##0.0_);_(* \(#,##0.0\);_(* &quot;-&quot;?_);_(@_)"/>
    <numFmt numFmtId="176" formatCode="_-* #,##0_-;\-* #,##0_-;_-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rgb="FFFFFFFF"/>
      <name val="Times New Roman"/>
      <charset val="134"/>
    </font>
    <font>
      <i/>
      <sz val="10"/>
      <color theme="1"/>
      <name val="Times New Roman"/>
      <charset val="134"/>
    </font>
    <font>
      <b/>
      <i/>
      <sz val="10"/>
      <color theme="0"/>
      <name val="Times New Roman"/>
      <charset val="134"/>
    </font>
    <font>
      <b/>
      <i/>
      <sz val="10"/>
      <color theme="1"/>
      <name val="Times New Roman"/>
      <charset val="134"/>
    </font>
    <font>
      <sz val="11"/>
      <name val="Calibri"/>
      <charset val="134"/>
      <scheme val="minor"/>
    </font>
    <font>
      <i/>
      <sz val="10"/>
      <color rgb="FF000000"/>
      <name val="Times New Roman"/>
      <charset val="134"/>
    </font>
    <font>
      <i/>
      <sz val="10"/>
      <color rgb="FFFFFFFF"/>
      <name val="Times New Roman"/>
      <charset val="134"/>
    </font>
    <font>
      <i/>
      <sz val="10"/>
      <color theme="0"/>
      <name val="Times New Roman"/>
      <charset val="134"/>
    </font>
    <font>
      <b/>
      <i/>
      <sz val="10"/>
      <color rgb="FF000000"/>
      <name val="Times New Roman"/>
      <charset val="134"/>
    </font>
    <font>
      <b/>
      <i/>
      <sz val="10"/>
      <color theme="0"/>
      <name val="Times New Roman"/>
      <family val="1"/>
    </font>
    <font>
      <i/>
      <sz val="10"/>
      <color theme="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i/>
      <sz val="10"/>
      <color rgb="FFFF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FF0000"/>
      <name val="Times New Roman"/>
      <charset val="134"/>
    </font>
    <font>
      <i/>
      <sz val="10"/>
      <color rgb="FFFF0000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2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/>
    </xf>
    <xf numFmtId="165" fontId="4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1" fontId="7" fillId="0" borderId="10" xfId="0" applyNumberFormat="1" applyFont="1" applyBorder="1"/>
    <xf numFmtId="1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166" fontId="7" fillId="0" borderId="10" xfId="0" applyNumberFormat="1" applyFont="1" applyBorder="1" applyAlignment="1">
      <alignment horizontal="right"/>
    </xf>
    <xf numFmtId="167" fontId="3" fillId="0" borderId="10" xfId="0" applyNumberFormat="1" applyFont="1" applyBorder="1" applyAlignment="1">
      <alignment horizontal="right"/>
    </xf>
    <xf numFmtId="167" fontId="7" fillId="0" borderId="10" xfId="0" applyNumberFormat="1" applyFont="1" applyBorder="1" applyAlignment="1">
      <alignment horizontal="right"/>
    </xf>
    <xf numFmtId="168" fontId="8" fillId="2" borderId="10" xfId="0" applyNumberFormat="1" applyFont="1" applyFill="1" applyBorder="1" applyAlignment="1">
      <alignment horizontal="right"/>
    </xf>
    <xf numFmtId="168" fontId="9" fillId="2" borderId="10" xfId="0" applyNumberFormat="1" applyFont="1" applyFill="1" applyBorder="1" applyAlignment="1">
      <alignment horizontal="right" wrapText="1"/>
    </xf>
    <xf numFmtId="168" fontId="9" fillId="2" borderId="10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168" fontId="3" fillId="0" borderId="0" xfId="0" applyNumberFormat="1" applyFont="1"/>
    <xf numFmtId="0" fontId="7" fillId="3" borderId="10" xfId="0" applyFont="1" applyFill="1" applyBorder="1"/>
    <xf numFmtId="168" fontId="8" fillId="4" borderId="10" xfId="0" applyNumberFormat="1" applyFont="1" applyFill="1" applyBorder="1" applyAlignment="1">
      <alignment horizontal="right" wrapText="1"/>
    </xf>
    <xf numFmtId="168" fontId="8" fillId="4" borderId="10" xfId="0" applyNumberFormat="1" applyFont="1" applyFill="1" applyBorder="1" applyAlignment="1">
      <alignment horizontal="right"/>
    </xf>
    <xf numFmtId="168" fontId="9" fillId="2" borderId="0" xfId="0" applyNumberFormat="1" applyFont="1" applyFill="1"/>
    <xf numFmtId="168" fontId="8" fillId="2" borderId="10" xfId="0" applyNumberFormat="1" applyFont="1" applyFill="1" applyBorder="1" applyAlignment="1">
      <alignment horizontal="right" wrapText="1"/>
    </xf>
    <xf numFmtId="168" fontId="9" fillId="4" borderId="4" xfId="0" applyNumberFormat="1" applyFont="1" applyFill="1" applyBorder="1" applyAlignment="1">
      <alignment horizontal="right"/>
    </xf>
    <xf numFmtId="168" fontId="9" fillId="4" borderId="8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4" fillId="2" borderId="10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vertical="center"/>
    </xf>
    <xf numFmtId="169" fontId="3" fillId="0" borderId="10" xfId="0" applyNumberFormat="1" applyFont="1" applyBorder="1" applyAlignment="1">
      <alignment horizontal="right"/>
    </xf>
    <xf numFmtId="169" fontId="7" fillId="0" borderId="10" xfId="0" applyNumberFormat="1" applyFont="1" applyBorder="1" applyAlignment="1">
      <alignment horizontal="right"/>
    </xf>
    <xf numFmtId="166" fontId="9" fillId="2" borderId="10" xfId="0" applyNumberFormat="1" applyFont="1" applyFill="1" applyBorder="1" applyAlignment="1">
      <alignment horizontal="right" wrapText="1"/>
    </xf>
    <xf numFmtId="165" fontId="9" fillId="2" borderId="10" xfId="0" applyNumberFormat="1" applyFont="1" applyFill="1" applyBorder="1" applyAlignment="1">
      <alignment horizontal="right"/>
    </xf>
    <xf numFmtId="0" fontId="10" fillId="0" borderId="10" xfId="0" applyFont="1" applyBorder="1" applyAlignment="1">
      <alignment horizontal="left" vertical="center"/>
    </xf>
    <xf numFmtId="170" fontId="3" fillId="0" borderId="10" xfId="0" applyNumberFormat="1" applyFont="1" applyBorder="1" applyAlignment="1">
      <alignment horizontal="right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3" fontId="7" fillId="0" borderId="10" xfId="0" applyNumberFormat="1" applyFont="1" applyBorder="1" applyAlignment="1">
      <alignment horizontal="right"/>
    </xf>
    <xf numFmtId="9" fontId="7" fillId="0" borderId="10" xfId="0" applyNumberFormat="1" applyFont="1" applyBorder="1" applyAlignment="1">
      <alignment horizontal="right"/>
    </xf>
    <xf numFmtId="166" fontId="8" fillId="2" borderId="10" xfId="0" applyNumberFormat="1" applyFont="1" applyFill="1" applyBorder="1" applyAlignment="1">
      <alignment horizontal="right"/>
    </xf>
    <xf numFmtId="0" fontId="3" fillId="0" borderId="10" xfId="0" applyFont="1" applyBorder="1" applyAlignment="1">
      <alignment horizontal="left"/>
    </xf>
    <xf numFmtId="9" fontId="3" fillId="0" borderId="10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171" fontId="8" fillId="2" borderId="10" xfId="0" applyNumberFormat="1" applyFont="1" applyFill="1" applyBorder="1" applyAlignment="1">
      <alignment horizontal="right"/>
    </xf>
    <xf numFmtId="171" fontId="9" fillId="2" borderId="10" xfId="0" applyNumberFormat="1" applyFont="1" applyFill="1" applyBorder="1" applyAlignment="1">
      <alignment horizontal="right"/>
    </xf>
    <xf numFmtId="172" fontId="8" fillId="4" borderId="10" xfId="0" applyNumberFormat="1" applyFont="1" applyFill="1" applyBorder="1" applyAlignment="1">
      <alignment horizontal="right"/>
    </xf>
    <xf numFmtId="172" fontId="9" fillId="4" borderId="10" xfId="0" applyNumberFormat="1" applyFont="1" applyFill="1" applyBorder="1" applyAlignment="1">
      <alignment horizontal="right"/>
    </xf>
    <xf numFmtId="171" fontId="8" fillId="2" borderId="10" xfId="0" applyNumberFormat="1" applyFont="1" applyFill="1" applyBorder="1" applyAlignment="1">
      <alignment horizontal="right" wrapText="1"/>
    </xf>
    <xf numFmtId="10" fontId="3" fillId="0" borderId="10" xfId="0" applyNumberFormat="1" applyFont="1" applyBorder="1" applyAlignment="1">
      <alignment horizontal="right"/>
    </xf>
    <xf numFmtId="10" fontId="7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173" fontId="3" fillId="0" borderId="10" xfId="0" applyNumberFormat="1" applyFont="1" applyBorder="1" applyAlignment="1">
      <alignment horizontal="right"/>
    </xf>
    <xf numFmtId="0" fontId="8" fillId="2" borderId="10" xfId="0" applyFont="1" applyFill="1" applyBorder="1" applyAlignment="1">
      <alignment horizontal="right"/>
    </xf>
    <xf numFmtId="169" fontId="7" fillId="0" borderId="10" xfId="0" applyNumberFormat="1" applyFont="1" applyBorder="1" applyAlignment="1">
      <alignment horizontal="left"/>
    </xf>
    <xf numFmtId="172" fontId="8" fillId="2" borderId="10" xfId="0" applyNumberFormat="1" applyFont="1" applyFill="1" applyBorder="1" applyAlignment="1">
      <alignment horizontal="right"/>
    </xf>
    <xf numFmtId="166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7" fillId="0" borderId="11" xfId="0" applyFont="1" applyBorder="1"/>
    <xf numFmtId="166" fontId="8" fillId="4" borderId="10" xfId="0" applyNumberFormat="1" applyFont="1" applyFill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5" fontId="14" fillId="0" borderId="0" xfId="0" applyNumberFormat="1" applyFont="1"/>
    <xf numFmtId="165" fontId="14" fillId="0" borderId="0" xfId="1" applyNumberFormat="1" applyFont="1" applyFill="1"/>
    <xf numFmtId="0" fontId="11" fillId="5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65" fontId="11" fillId="5" borderId="12" xfId="1" applyNumberFormat="1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 wrapText="1"/>
    </xf>
    <xf numFmtId="1" fontId="16" fillId="0" borderId="12" xfId="0" applyNumberFormat="1" applyFont="1" applyBorder="1" applyAlignment="1">
      <alignment horizontal="right"/>
    </xf>
    <xf numFmtId="0" fontId="16" fillId="0" borderId="12" xfId="0" applyFont="1" applyBorder="1" applyAlignment="1">
      <alignment horizontal="left" wrapText="1"/>
    </xf>
    <xf numFmtId="166" fontId="16" fillId="0" borderId="12" xfId="0" applyNumberFormat="1" applyFont="1" applyBorder="1" applyAlignment="1">
      <alignment horizontal="right" wrapText="1"/>
    </xf>
    <xf numFmtId="166" fontId="16" fillId="0" borderId="12" xfId="2" applyNumberFormat="1" applyFont="1" applyBorder="1" applyAlignment="1">
      <alignment horizontal="right" vertical="center" wrapText="1"/>
    </xf>
    <xf numFmtId="166" fontId="13" fillId="0" borderId="0" xfId="2" applyNumberFormat="1" applyFont="1" applyAlignment="1">
      <alignment horizontal="right" vertical="center"/>
    </xf>
    <xf numFmtId="166" fontId="11" fillId="5" borderId="12" xfId="2" applyNumberFormat="1" applyFont="1" applyFill="1" applyBorder="1" applyAlignment="1">
      <alignment horizontal="right" wrapText="1"/>
    </xf>
    <xf numFmtId="166" fontId="11" fillId="5" borderId="12" xfId="0" applyNumberFormat="1" applyFont="1" applyFill="1" applyBorder="1" applyAlignment="1">
      <alignment horizontal="right" wrapText="1"/>
    </xf>
    <xf numFmtId="165" fontId="11" fillId="5" borderId="12" xfId="1" applyNumberFormat="1" applyFont="1" applyFill="1" applyBorder="1" applyAlignment="1">
      <alignment horizontal="right"/>
    </xf>
    <xf numFmtId="0" fontId="16" fillId="0" borderId="12" xfId="0" applyFont="1" applyBorder="1" applyAlignment="1">
      <alignment horizontal="right" wrapText="1"/>
    </xf>
    <xf numFmtId="173" fontId="16" fillId="0" borderId="12" xfId="0" applyNumberFormat="1" applyFont="1" applyBorder="1" applyAlignment="1">
      <alignment horizontal="right" wrapText="1"/>
    </xf>
    <xf numFmtId="2" fontId="16" fillId="0" borderId="12" xfId="1" applyNumberFormat="1" applyFont="1" applyFill="1" applyBorder="1" applyAlignment="1">
      <alignment horizontal="right" wrapText="1"/>
    </xf>
    <xf numFmtId="174" fontId="16" fillId="0" borderId="12" xfId="1" applyNumberFormat="1" applyFont="1" applyFill="1" applyBorder="1" applyAlignment="1">
      <alignment horizontal="right" wrapText="1"/>
    </xf>
    <xf numFmtId="168" fontId="11" fillId="5" borderId="12" xfId="0" applyNumberFormat="1" applyFont="1" applyFill="1" applyBorder="1" applyAlignment="1">
      <alignment horizontal="right" wrapText="1"/>
    </xf>
    <xf numFmtId="175" fontId="13" fillId="0" borderId="0" xfId="0" applyNumberFormat="1" applyFont="1"/>
    <xf numFmtId="1" fontId="16" fillId="0" borderId="12" xfId="0" applyNumberFormat="1" applyFont="1" applyBorder="1" applyAlignment="1">
      <alignment horizontal="right" wrapText="1"/>
    </xf>
    <xf numFmtId="0" fontId="17" fillId="0" borderId="0" xfId="0" applyFont="1"/>
    <xf numFmtId="0" fontId="17" fillId="0" borderId="23" xfId="0" applyFont="1" applyBorder="1" applyAlignment="1">
      <alignment vertical="center" wrapText="1"/>
    </xf>
    <xf numFmtId="173" fontId="11" fillId="5" borderId="12" xfId="0" applyNumberFormat="1" applyFont="1" applyFill="1" applyBorder="1" applyAlignment="1">
      <alignment horizontal="right" wrapText="1"/>
    </xf>
    <xf numFmtId="0" fontId="19" fillId="0" borderId="0" xfId="0" applyFont="1"/>
    <xf numFmtId="176" fontId="16" fillId="0" borderId="12" xfId="1" applyNumberFormat="1" applyFont="1" applyBorder="1" applyAlignment="1">
      <alignment horizontal="right" wrapText="1"/>
    </xf>
    <xf numFmtId="165" fontId="11" fillId="5" borderId="12" xfId="0" applyNumberFormat="1" applyFont="1" applyFill="1" applyBorder="1" applyAlignment="1">
      <alignment horizontal="right"/>
    </xf>
    <xf numFmtId="174" fontId="16" fillId="0" borderId="12" xfId="1" applyNumberFormat="1" applyFont="1" applyBorder="1" applyAlignment="1">
      <alignment horizontal="right" wrapText="1"/>
    </xf>
    <xf numFmtId="0" fontId="16" fillId="0" borderId="23" xfId="0" applyFont="1" applyBorder="1" applyAlignment="1">
      <alignment horizontal="left" vertical="center" wrapText="1"/>
    </xf>
    <xf numFmtId="10" fontId="16" fillId="0" borderId="12" xfId="0" applyNumberFormat="1" applyFont="1" applyBorder="1" applyAlignment="1">
      <alignment horizontal="right" wrapText="1"/>
    </xf>
    <xf numFmtId="166" fontId="16" fillId="0" borderId="12" xfId="2" applyNumberFormat="1" applyFont="1" applyFill="1" applyBorder="1" applyAlignment="1">
      <alignment horizontal="right" wrapText="1"/>
    </xf>
    <xf numFmtId="10" fontId="11" fillId="5" borderId="12" xfId="0" applyNumberFormat="1" applyFont="1" applyFill="1" applyBorder="1" applyAlignment="1">
      <alignment horizontal="right" wrapText="1"/>
    </xf>
    <xf numFmtId="0" fontId="12" fillId="5" borderId="12" xfId="0" applyFont="1" applyFill="1" applyBorder="1"/>
    <xf numFmtId="1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right" wrapText="1"/>
    </xf>
    <xf numFmtId="166" fontId="11" fillId="5" borderId="12" xfId="2" applyNumberFormat="1" applyFont="1" applyFill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wrapText="1"/>
    </xf>
    <xf numFmtId="166" fontId="16" fillId="0" borderId="12" xfId="0" applyNumberFormat="1" applyFont="1" applyBorder="1" applyAlignment="1">
      <alignment wrapText="1"/>
    </xf>
    <xf numFmtId="166" fontId="16" fillId="0" borderId="12" xfId="0" applyNumberFormat="1" applyFont="1" applyBorder="1" applyAlignment="1">
      <alignment horizontal="left" wrapText="1"/>
    </xf>
    <xf numFmtId="165" fontId="17" fillId="0" borderId="12" xfId="1" applyNumberFormat="1" applyFont="1" applyBorder="1" applyAlignment="1">
      <alignment horizontal="right" wrapText="1"/>
    </xf>
    <xf numFmtId="165" fontId="13" fillId="0" borderId="12" xfId="1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left" wrapText="1"/>
    </xf>
    <xf numFmtId="2" fontId="16" fillId="0" borderId="12" xfId="0" applyNumberFormat="1" applyFont="1" applyBorder="1" applyAlignment="1">
      <alignment horizontal="right" wrapText="1"/>
    </xf>
    <xf numFmtId="173" fontId="17" fillId="0" borderId="12" xfId="0" applyNumberFormat="1" applyFont="1" applyBorder="1" applyAlignment="1">
      <alignment horizontal="right" wrapText="1"/>
    </xf>
    <xf numFmtId="0" fontId="16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vertical="center" wrapText="1"/>
    </xf>
    <xf numFmtId="176" fontId="16" fillId="0" borderId="12" xfId="1" applyNumberFormat="1" applyFont="1" applyFill="1" applyBorder="1" applyAlignment="1">
      <alignment horizontal="right" wrapText="1"/>
    </xf>
    <xf numFmtId="165" fontId="11" fillId="5" borderId="12" xfId="1" applyNumberFormat="1" applyFont="1" applyFill="1" applyBorder="1" applyAlignment="1">
      <alignment horizontal="right" wrapText="1"/>
    </xf>
    <xf numFmtId="0" fontId="16" fillId="0" borderId="18" xfId="0" applyFont="1" applyBorder="1" applyAlignment="1">
      <alignment horizontal="center" vertical="center" wrapText="1"/>
    </xf>
    <xf numFmtId="0" fontId="17" fillId="0" borderId="16" xfId="0" applyFont="1" applyBorder="1" applyAlignment="1">
      <alignment vertical="center" wrapText="1"/>
    </xf>
    <xf numFmtId="169" fontId="13" fillId="0" borderId="12" xfId="3" applyNumberFormat="1" applyFont="1" applyFill="1" applyBorder="1" applyAlignment="1">
      <alignment horizontal="right" wrapText="1"/>
    </xf>
    <xf numFmtId="176" fontId="16" fillId="0" borderId="12" xfId="0" applyNumberFormat="1" applyFont="1" applyBorder="1" applyAlignment="1">
      <alignment horizontal="right" wrapText="1"/>
    </xf>
    <xf numFmtId="0" fontId="13" fillId="0" borderId="12" xfId="0" applyFont="1" applyBorder="1" applyAlignment="1">
      <alignment horizontal="right"/>
    </xf>
    <xf numFmtId="175" fontId="19" fillId="0" borderId="0" xfId="0" applyNumberFormat="1" applyFont="1"/>
    <xf numFmtId="0" fontId="17" fillId="0" borderId="13" xfId="0" applyFont="1" applyBorder="1" applyAlignment="1">
      <alignment vertical="center" wrapText="1"/>
    </xf>
    <xf numFmtId="2" fontId="16" fillId="0" borderId="15" xfId="0" applyNumberFormat="1" applyFont="1" applyBorder="1" applyAlignment="1">
      <alignment horizontal="right" wrapText="1"/>
    </xf>
    <xf numFmtId="176" fontId="16" fillId="0" borderId="15" xfId="0" applyNumberFormat="1" applyFont="1" applyBorder="1" applyAlignment="1">
      <alignment horizontal="right" wrapText="1"/>
    </xf>
    <xf numFmtId="176" fontId="16" fillId="0" borderId="15" xfId="1" applyNumberFormat="1" applyFont="1" applyBorder="1" applyAlignment="1">
      <alignment horizontal="right" wrapText="1"/>
    </xf>
    <xf numFmtId="165" fontId="11" fillId="5" borderId="15" xfId="1" applyNumberFormat="1" applyFont="1" applyFill="1" applyBorder="1" applyAlignment="1">
      <alignment horizontal="right" wrapText="1"/>
    </xf>
    <xf numFmtId="166" fontId="16" fillId="0" borderId="12" xfId="2" applyNumberFormat="1" applyFont="1" applyBorder="1" applyAlignment="1">
      <alignment horizontal="right" wrapText="1"/>
    </xf>
    <xf numFmtId="171" fontId="11" fillId="5" borderId="12" xfId="2" applyNumberFormat="1" applyFont="1" applyFill="1" applyBorder="1" applyAlignment="1">
      <alignment horizontal="right" wrapText="1"/>
    </xf>
    <xf numFmtId="2" fontId="11" fillId="5" borderId="12" xfId="0" applyNumberFormat="1" applyFont="1" applyFill="1" applyBorder="1" applyAlignment="1">
      <alignment horizontal="right" wrapText="1"/>
    </xf>
    <xf numFmtId="166" fontId="17" fillId="0" borderId="12" xfId="0" applyNumberFormat="1" applyFont="1" applyBorder="1" applyAlignment="1">
      <alignment horizontal="right" wrapText="1"/>
    </xf>
    <xf numFmtId="166" fontId="16" fillId="0" borderId="12" xfId="2" applyNumberFormat="1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11" fillId="5" borderId="21" xfId="0" applyFont="1" applyFill="1" applyBorder="1" applyAlignment="1">
      <alignment horizontal="right" vertical="center"/>
    </xf>
    <xf numFmtId="1" fontId="11" fillId="5" borderId="12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center"/>
    </xf>
    <xf numFmtId="165" fontId="11" fillId="0" borderId="0" xfId="1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64" fontId="13" fillId="0" borderId="0" xfId="0" applyNumberFormat="1" applyFont="1"/>
    <xf numFmtId="0" fontId="13" fillId="0" borderId="0" xfId="0" applyFont="1" applyAlignment="1">
      <alignment horizontal="left" wrapText="1"/>
    </xf>
    <xf numFmtId="1" fontId="13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73" fontId="11" fillId="5" borderId="12" xfId="2" applyNumberFormat="1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69" fontId="14" fillId="0" borderId="0" xfId="1" applyNumberFormat="1" applyFont="1" applyFill="1" applyBorder="1" applyAlignment="1">
      <alignment horizontal="left"/>
    </xf>
    <xf numFmtId="169" fontId="14" fillId="0" borderId="0" xfId="1" applyNumberFormat="1" applyFont="1" applyFill="1" applyBorder="1" applyAlignment="1">
      <alignment horizontal="center"/>
    </xf>
    <xf numFmtId="165" fontId="14" fillId="0" borderId="0" xfId="1" applyNumberFormat="1" applyFont="1" applyFill="1" applyBorder="1" applyAlignment="1">
      <alignment horizontal="center"/>
    </xf>
    <xf numFmtId="169" fontId="14" fillId="0" borderId="0" xfId="1" applyNumberFormat="1" applyFont="1" applyFill="1" applyBorder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3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right" vertical="center"/>
    </xf>
    <xf numFmtId="10" fontId="13" fillId="0" borderId="0" xfId="1" applyNumberFormat="1" applyFont="1" applyFill="1" applyBorder="1" applyAlignment="1">
      <alignment horizontal="left"/>
    </xf>
    <xf numFmtId="10" fontId="13" fillId="0" borderId="0" xfId="1" applyNumberFormat="1" applyFont="1" applyFill="1" applyBorder="1" applyAlignment="1">
      <alignment horizontal="center"/>
    </xf>
    <xf numFmtId="164" fontId="13" fillId="0" borderId="0" xfId="1" applyFont="1" applyFill="1" applyBorder="1" applyAlignment="1">
      <alignment horizontal="center"/>
    </xf>
    <xf numFmtId="164" fontId="13" fillId="0" borderId="0" xfId="1" applyFont="1" applyBorder="1"/>
    <xf numFmtId="10" fontId="14" fillId="0" borderId="0" xfId="0" applyNumberFormat="1" applyFont="1" applyAlignment="1">
      <alignment vertical="center" wrapText="1"/>
    </xf>
    <xf numFmtId="0" fontId="14" fillId="6" borderId="26" xfId="0" applyFont="1" applyFill="1" applyBorder="1"/>
    <xf numFmtId="0" fontId="14" fillId="0" borderId="0" xfId="0" applyFont="1" applyAlignment="1">
      <alignment horizontal="center"/>
    </xf>
    <xf numFmtId="2" fontId="14" fillId="0" borderId="0" xfId="0" applyNumberFormat="1" applyFont="1"/>
    <xf numFmtId="0" fontId="11" fillId="5" borderId="0" xfId="0" applyFont="1" applyFill="1"/>
    <xf numFmtId="1" fontId="11" fillId="5" borderId="0" xfId="0" applyNumberFormat="1" applyFont="1" applyFill="1"/>
    <xf numFmtId="173" fontId="11" fillId="5" borderId="0" xfId="2" applyNumberFormat="1" applyFont="1" applyFill="1"/>
    <xf numFmtId="0" fontId="11" fillId="5" borderId="12" xfId="0" applyFont="1" applyFill="1" applyBorder="1" applyAlignment="1">
      <alignment horizontal="center" wrapText="1"/>
    </xf>
    <xf numFmtId="0" fontId="16" fillId="0" borderId="27" xfId="0" applyFont="1" applyBorder="1" applyAlignment="1">
      <alignment horizontal="center"/>
    </xf>
    <xf numFmtId="0" fontId="16" fillId="0" borderId="12" xfId="0" applyFont="1" applyBorder="1" applyAlignment="1">
      <alignment wrapText="1"/>
    </xf>
    <xf numFmtId="0" fontId="16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166" fontId="13" fillId="0" borderId="12" xfId="0" applyNumberFormat="1" applyFont="1" applyBorder="1" applyAlignment="1">
      <alignment horizontal="right"/>
    </xf>
    <xf numFmtId="166" fontId="13" fillId="0" borderId="12" xfId="0" applyNumberFormat="1" applyFont="1" applyBorder="1" applyAlignment="1">
      <alignment horizontal="left"/>
    </xf>
    <xf numFmtId="169" fontId="13" fillId="0" borderId="12" xfId="4" applyNumberFormat="1" applyFont="1" applyFill="1" applyBorder="1" applyAlignment="1">
      <alignment horizontal="right"/>
    </xf>
    <xf numFmtId="169" fontId="13" fillId="0" borderId="12" xfId="0" applyNumberFormat="1" applyFont="1" applyBorder="1" applyAlignment="1">
      <alignment horizontal="right"/>
    </xf>
    <xf numFmtId="165" fontId="11" fillId="5" borderId="12" xfId="3" applyNumberFormat="1" applyFont="1" applyFill="1" applyBorder="1" applyAlignment="1">
      <alignment horizontal="right" wrapText="1"/>
    </xf>
    <xf numFmtId="165" fontId="11" fillId="5" borderId="12" xfId="3" applyNumberFormat="1" applyFont="1" applyFill="1" applyBorder="1" applyAlignment="1">
      <alignment horizontal="right"/>
    </xf>
    <xf numFmtId="2" fontId="17" fillId="0" borderId="12" xfId="0" applyNumberFormat="1" applyFont="1" applyBorder="1" applyAlignment="1">
      <alignment horizontal="right"/>
    </xf>
    <xf numFmtId="0" fontId="16" fillId="0" borderId="12" xfId="0" applyFont="1" applyBorder="1" applyAlignment="1">
      <alignment horizontal="center" wrapText="1"/>
    </xf>
    <xf numFmtId="164" fontId="13" fillId="0" borderId="12" xfId="4" applyFont="1" applyFill="1" applyBorder="1" applyAlignment="1">
      <alignment horizontal="right" wrapText="1"/>
    </xf>
    <xf numFmtId="169" fontId="13" fillId="0" borderId="12" xfId="0" applyNumberFormat="1" applyFont="1" applyBorder="1" applyAlignment="1">
      <alignment horizontal="right" wrapText="1"/>
    </xf>
    <xf numFmtId="169" fontId="13" fillId="0" borderId="12" xfId="4" applyNumberFormat="1" applyFont="1" applyFill="1" applyBorder="1" applyAlignment="1">
      <alignment horizontal="right" wrapText="1"/>
    </xf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 wrapText="1"/>
    </xf>
    <xf numFmtId="166" fontId="13" fillId="0" borderId="12" xfId="0" applyNumberFormat="1" applyFont="1" applyBorder="1" applyAlignment="1">
      <alignment horizontal="left" wrapText="1"/>
    </xf>
    <xf numFmtId="9" fontId="17" fillId="0" borderId="12" xfId="4" applyNumberFormat="1" applyFont="1" applyFill="1" applyBorder="1" applyAlignment="1">
      <alignment horizontal="right" wrapText="1"/>
    </xf>
    <xf numFmtId="9" fontId="13" fillId="0" borderId="12" xfId="2" applyFont="1" applyFill="1" applyBorder="1" applyAlignment="1">
      <alignment horizontal="right" wrapText="1"/>
    </xf>
    <xf numFmtId="9" fontId="16" fillId="0" borderId="12" xfId="2" applyFont="1" applyFill="1" applyBorder="1" applyAlignment="1">
      <alignment horizontal="right" wrapText="1"/>
    </xf>
    <xf numFmtId="0" fontId="13" fillId="0" borderId="12" xfId="0" applyFont="1" applyBorder="1" applyAlignment="1">
      <alignment horizontal="left" wrapText="1"/>
    </xf>
    <xf numFmtId="9" fontId="16" fillId="0" borderId="12" xfId="5" applyFont="1" applyFill="1" applyBorder="1" applyAlignment="1">
      <alignment horizontal="right" wrapText="1"/>
    </xf>
    <xf numFmtId="9" fontId="13" fillId="0" borderId="12" xfId="0" applyNumberFormat="1" applyFont="1" applyBorder="1" applyAlignment="1">
      <alignment horizontal="right" wrapText="1"/>
    </xf>
    <xf numFmtId="166" fontId="13" fillId="0" borderId="12" xfId="0" applyNumberFormat="1" applyFont="1" applyBorder="1" applyAlignment="1">
      <alignment horizontal="right" wrapText="1"/>
    </xf>
    <xf numFmtId="169" fontId="17" fillId="0" borderId="12" xfId="0" applyNumberFormat="1" applyFont="1" applyBorder="1" applyAlignment="1">
      <alignment horizontal="right" wrapText="1"/>
    </xf>
    <xf numFmtId="169" fontId="17" fillId="0" borderId="12" xfId="4" applyNumberFormat="1" applyFont="1" applyFill="1" applyBorder="1" applyAlignment="1">
      <alignment horizontal="right" wrapText="1"/>
    </xf>
    <xf numFmtId="173" fontId="11" fillId="5" borderId="12" xfId="2" applyNumberFormat="1" applyFont="1" applyFill="1" applyBorder="1" applyAlignment="1">
      <alignment horizontal="right" wrapText="1"/>
    </xf>
    <xf numFmtId="0" fontId="17" fillId="0" borderId="12" xfId="0" applyFont="1" applyBorder="1" applyAlignment="1">
      <alignment horizontal="right"/>
    </xf>
    <xf numFmtId="165" fontId="11" fillId="5" borderId="12" xfId="6" applyNumberFormat="1" applyFont="1" applyFill="1" applyBorder="1" applyAlignment="1">
      <alignment horizontal="right" wrapText="1"/>
    </xf>
    <xf numFmtId="165" fontId="17" fillId="0" borderId="12" xfId="3" applyNumberFormat="1" applyFont="1" applyFill="1" applyBorder="1" applyAlignment="1">
      <alignment horizontal="right" wrapText="1"/>
    </xf>
    <xf numFmtId="165" fontId="13" fillId="0" borderId="12" xfId="3" applyNumberFormat="1" applyFont="1" applyFill="1" applyBorder="1" applyAlignment="1">
      <alignment horizontal="right" wrapText="1"/>
    </xf>
    <xf numFmtId="173" fontId="13" fillId="0" borderId="12" xfId="0" applyNumberFormat="1" applyFont="1" applyBorder="1" applyAlignment="1">
      <alignment horizontal="right" wrapText="1"/>
    </xf>
    <xf numFmtId="166" fontId="13" fillId="0" borderId="12" xfId="2" applyNumberFormat="1" applyFont="1" applyFill="1" applyBorder="1" applyAlignment="1">
      <alignment horizontal="right" wrapText="1"/>
    </xf>
    <xf numFmtId="9" fontId="11" fillId="5" borderId="12" xfId="2" applyFont="1" applyFill="1" applyBorder="1" applyAlignment="1">
      <alignment horizontal="right" wrapText="1"/>
    </xf>
    <xf numFmtId="173" fontId="13" fillId="0" borderId="12" xfId="2" applyNumberFormat="1" applyFont="1" applyFill="1" applyBorder="1" applyAlignment="1">
      <alignment horizontal="right" wrapText="1"/>
    </xf>
    <xf numFmtId="169" fontId="13" fillId="0" borderId="12" xfId="4" applyNumberFormat="1" applyFont="1" applyFill="1" applyBorder="1" applyAlignment="1">
      <alignment horizontal="left" wrapText="1"/>
    </xf>
    <xf numFmtId="169" fontId="13" fillId="0" borderId="0" xfId="3" applyNumberFormat="1" applyFont="1" applyFill="1" applyAlignment="1"/>
    <xf numFmtId="43" fontId="11" fillId="5" borderId="12" xfId="3" applyFont="1" applyFill="1" applyBorder="1" applyAlignment="1">
      <alignment horizontal="right" wrapText="1"/>
    </xf>
    <xf numFmtId="10" fontId="17" fillId="0" borderId="12" xfId="0" applyNumberFormat="1" applyFont="1" applyBorder="1" applyAlignment="1">
      <alignment horizontal="left" wrapText="1"/>
    </xf>
    <xf numFmtId="166" fontId="17" fillId="0" borderId="12" xfId="0" applyNumberFormat="1" applyFont="1" applyBorder="1" applyAlignment="1">
      <alignment horizontal="left" wrapText="1"/>
    </xf>
    <xf numFmtId="9" fontId="17" fillId="0" borderId="12" xfId="0" applyNumberFormat="1" applyFont="1" applyBorder="1" applyAlignment="1">
      <alignment horizontal="right" wrapText="1"/>
    </xf>
    <xf numFmtId="166" fontId="13" fillId="0" borderId="12" xfId="0" applyNumberFormat="1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168" fontId="13" fillId="0" borderId="12" xfId="0" applyNumberFormat="1" applyFont="1" applyBorder="1" applyAlignment="1">
      <alignment horizontal="center" wrapText="1"/>
    </xf>
    <xf numFmtId="168" fontId="13" fillId="0" borderId="12" xfId="4" applyNumberFormat="1" applyFont="1" applyFill="1" applyBorder="1" applyAlignment="1">
      <alignment horizontal="center"/>
    </xf>
    <xf numFmtId="168" fontId="13" fillId="0" borderId="12" xfId="4" applyNumberFormat="1" applyFont="1" applyFill="1" applyBorder="1" applyAlignment="1">
      <alignment horizontal="center" wrapText="1"/>
    </xf>
    <xf numFmtId="168" fontId="11" fillId="5" borderId="12" xfId="0" applyNumberFormat="1" applyFont="1" applyFill="1" applyBorder="1" applyAlignment="1">
      <alignment horizontal="center" wrapText="1"/>
    </xf>
    <xf numFmtId="166" fontId="16" fillId="0" borderId="12" xfId="0" applyNumberFormat="1" applyFont="1" applyBorder="1" applyAlignment="1">
      <alignment horizontal="right"/>
    </xf>
    <xf numFmtId="0" fontId="13" fillId="0" borderId="12" xfId="0" applyFont="1" applyBorder="1" applyAlignment="1">
      <alignment horizontal="right" wrapText="1"/>
    </xf>
    <xf numFmtId="0" fontId="20" fillId="0" borderId="0" xfId="0" applyFont="1" applyAlignment="1">
      <alignment horizontal="center"/>
    </xf>
    <xf numFmtId="0" fontId="11" fillId="5" borderId="21" xfId="0" applyFont="1" applyFill="1" applyBorder="1" applyAlignment="1">
      <alignment horizontal="right"/>
    </xf>
    <xf numFmtId="1" fontId="11" fillId="5" borderId="12" xfId="0" applyNumberFormat="1" applyFont="1" applyFill="1" applyBorder="1" applyAlignment="1">
      <alignment horizontal="center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right" wrapText="1"/>
    </xf>
    <xf numFmtId="165" fontId="11" fillId="0" borderId="0" xfId="3" applyNumberFormat="1" applyFont="1" applyFill="1" applyBorder="1" applyAlignment="1">
      <alignment horizontal="right"/>
    </xf>
    <xf numFmtId="164" fontId="14" fillId="0" borderId="0" xfId="0" applyNumberFormat="1" applyFont="1"/>
    <xf numFmtId="169" fontId="13" fillId="0" borderId="28" xfId="4" applyNumberFormat="1" applyFont="1" applyBorder="1" applyAlignment="1"/>
    <xf numFmtId="10" fontId="14" fillId="0" borderId="0" xfId="0" applyNumberFormat="1" applyFont="1" applyAlignment="1">
      <alignment wrapText="1"/>
    </xf>
    <xf numFmtId="165" fontId="14" fillId="0" borderId="0" xfId="3" applyNumberFormat="1" applyFont="1" applyFill="1" applyAlignment="1"/>
    <xf numFmtId="173" fontId="11" fillId="5" borderId="0" xfId="2" applyNumberFormat="1" applyFont="1" applyFill="1" applyAlignme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6" fillId="0" borderId="7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6" fillId="0" borderId="5" xfId="0" applyFont="1" applyBorder="1"/>
    <xf numFmtId="0" fontId="6" fillId="0" borderId="6" xfId="0" applyFont="1" applyBorder="1"/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8" fontId="9" fillId="2" borderId="0" xfId="0" applyNumberFormat="1" applyFont="1" applyFill="1"/>
    <xf numFmtId="0" fontId="6" fillId="0" borderId="0" xfId="0" applyFont="1"/>
    <xf numFmtId="168" fontId="9" fillId="2" borderId="4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right" vertical="center"/>
    </xf>
    <xf numFmtId="0" fontId="21" fillId="5" borderId="12" xfId="0" applyFont="1" applyFill="1" applyBorder="1" applyAlignment="1">
      <alignment horizontal="right"/>
    </xf>
    <xf numFmtId="0" fontId="21" fillId="5" borderId="16" xfId="0" applyFont="1" applyFill="1" applyBorder="1" applyAlignment="1">
      <alignment horizontal="right"/>
    </xf>
    <xf numFmtId="0" fontId="11" fillId="5" borderId="16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right" vertical="center"/>
    </xf>
    <xf numFmtId="0" fontId="21" fillId="5" borderId="21" xfId="0" applyFont="1" applyFill="1" applyBorder="1" applyAlignment="1">
      <alignment horizontal="right"/>
    </xf>
    <xf numFmtId="0" fontId="21" fillId="5" borderId="19" xfId="0" applyFont="1" applyFill="1" applyBorder="1" applyAlignment="1">
      <alignment horizontal="right"/>
    </xf>
    <xf numFmtId="0" fontId="20" fillId="0" borderId="0" xfId="0" applyFont="1" applyAlignment="1">
      <alignment horizontal="left" vertical="center" wrapText="1"/>
    </xf>
    <xf numFmtId="10" fontId="14" fillId="0" borderId="0" xfId="0" applyNumberFormat="1" applyFont="1" applyAlignment="1">
      <alignment horizontal="left" vertical="center" wrapText="1"/>
    </xf>
    <xf numFmtId="0" fontId="11" fillId="5" borderId="0" xfId="0" applyFont="1" applyFill="1"/>
    <xf numFmtId="0" fontId="22" fillId="5" borderId="0" xfId="0" applyFont="1" applyFill="1"/>
    <xf numFmtId="0" fontId="23" fillId="0" borderId="0" xfId="0" applyFont="1"/>
    <xf numFmtId="0" fontId="21" fillId="5" borderId="0" xfId="0" applyFont="1" applyFill="1"/>
    <xf numFmtId="0" fontId="17" fillId="0" borderId="12" xfId="0" applyFont="1" applyBorder="1" applyAlignment="1">
      <alignment horizontal="center" wrapText="1"/>
    </xf>
    <xf numFmtId="0" fontId="15" fillId="0" borderId="0" xfId="0" applyFont="1"/>
    <xf numFmtId="0" fontId="14" fillId="0" borderId="0" xfId="0" applyFont="1" applyAlignment="1">
      <alignment horizontal="center"/>
    </xf>
    <xf numFmtId="0" fontId="11" fillId="5" borderId="12" xfId="0" applyFont="1" applyFill="1" applyBorder="1" applyAlignment="1">
      <alignment horizontal="center" wrapText="1"/>
    </xf>
    <xf numFmtId="0" fontId="11" fillId="5" borderId="13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1" fillId="5" borderId="16" xfId="0" applyFont="1" applyFill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4" fillId="0" borderId="0" xfId="0" applyFont="1" applyAlignment="1">
      <alignment horizontal="left" wrapText="1"/>
    </xf>
    <xf numFmtId="0" fontId="13" fillId="0" borderId="28" xfId="0" applyFont="1" applyBorder="1" applyAlignment="1">
      <alignment horizontal="left" wrapText="1"/>
    </xf>
    <xf numFmtId="0" fontId="11" fillId="5" borderId="21" xfId="0" applyFont="1" applyFill="1" applyBorder="1" applyAlignment="1">
      <alignment horizontal="righ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5" borderId="12" xfId="0" applyFont="1" applyFill="1" applyBorder="1" applyAlignment="1">
      <alignment horizontal="right"/>
    </xf>
    <xf numFmtId="0" fontId="20" fillId="0" borderId="0" xfId="0" applyFont="1" applyAlignment="1">
      <alignment horizontal="left" wrapText="1"/>
    </xf>
    <xf numFmtId="10" fontId="14" fillId="0" borderId="0" xfId="0" applyNumberFormat="1" applyFont="1" applyAlignment="1">
      <alignment horizontal="left" wrapText="1"/>
    </xf>
    <xf numFmtId="0" fontId="26" fillId="0" borderId="1" xfId="0" applyFont="1" applyBorder="1" applyAlignment="1">
      <alignment horizontal="left" vertical="center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7" fillId="0" borderId="10" xfId="0" applyFont="1" applyBorder="1" applyAlignment="1">
      <alignment horizontal="center"/>
    </xf>
    <xf numFmtId="166" fontId="27" fillId="0" borderId="10" xfId="0" applyNumberFormat="1" applyFont="1" applyBorder="1" applyAlignment="1">
      <alignment horizontal="right"/>
    </xf>
    <xf numFmtId="9" fontId="27" fillId="0" borderId="10" xfId="0" applyNumberFormat="1" applyFont="1" applyBorder="1" applyAlignment="1">
      <alignment horizontal="right"/>
    </xf>
    <xf numFmtId="3" fontId="27" fillId="0" borderId="10" xfId="0" applyNumberFormat="1" applyFont="1" applyBorder="1" applyAlignment="1">
      <alignment horizontal="right"/>
    </xf>
    <xf numFmtId="168" fontId="27" fillId="2" borderId="10" xfId="0" applyNumberFormat="1" applyFont="1" applyFill="1" applyBorder="1" applyAlignment="1">
      <alignment horizontal="right"/>
    </xf>
    <xf numFmtId="166" fontId="27" fillId="2" borderId="10" xfId="0" applyNumberFormat="1" applyFont="1" applyFill="1" applyBorder="1" applyAlignment="1">
      <alignment horizontal="right" wrapText="1"/>
    </xf>
    <xf numFmtId="165" fontId="27" fillId="2" borderId="10" xfId="0" applyNumberFormat="1" applyFont="1" applyFill="1" applyBorder="1" applyAlignment="1">
      <alignment horizontal="right"/>
    </xf>
    <xf numFmtId="0" fontId="27" fillId="0" borderId="0" xfId="0" applyFont="1"/>
    <xf numFmtId="0" fontId="25" fillId="0" borderId="0" xfId="0" applyFont="1"/>
    <xf numFmtId="0" fontId="27" fillId="0" borderId="10" xfId="0" applyFont="1" applyBorder="1" applyAlignment="1">
      <alignment horizontal="right"/>
    </xf>
    <xf numFmtId="172" fontId="27" fillId="2" borderId="10" xfId="0" applyNumberFormat="1" applyFont="1" applyFill="1" applyBorder="1" applyAlignment="1">
      <alignment horizontal="right" wrapText="1"/>
    </xf>
    <xf numFmtId="171" fontId="27" fillId="2" borderId="10" xfId="0" applyNumberFormat="1" applyFont="1" applyFill="1" applyBorder="1" applyAlignment="1">
      <alignment horizontal="right" wrapText="1"/>
    </xf>
    <xf numFmtId="9" fontId="27" fillId="0" borderId="0" xfId="0" applyNumberFormat="1" applyFont="1"/>
    <xf numFmtId="166" fontId="27" fillId="2" borderId="10" xfId="0" applyNumberFormat="1" applyFont="1" applyFill="1" applyBorder="1" applyAlignment="1">
      <alignment horizontal="right"/>
    </xf>
  </cellXfs>
  <cellStyles count="7">
    <cellStyle name="Comma" xfId="1" builtinId="3"/>
    <cellStyle name="Comma 10 4" xfId="3" xr:uid="{00000000-0005-0000-0000-000001000000}"/>
    <cellStyle name="Comma 10 4 2" xfId="6" xr:uid="{00000000-0005-0000-0000-000002000000}"/>
    <cellStyle name="Comma 101" xfId="4" xr:uid="{00000000-0005-0000-0000-000003000000}"/>
    <cellStyle name="Normal" xfId="0" builtinId="0"/>
    <cellStyle name="Percent" xfId="2" builtinId="5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etuabayneh\Downloads\CBE%20SCORE%20CARD%202nd%20QUAR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ETUAB~1\AppData\Local\Temp\2024-25%20FY%20Annual%20Corporate%20and%20Divisions%20Scorecard%20-%202024-25FY%20-%2022072025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E"/>
      <sheetName val="Summary"/>
      <sheetName val="1_RBB"/>
      <sheetName val="2_CBE Noor"/>
      <sheetName val="3_IB"/>
      <sheetName val="4_Credit"/>
      <sheetName val="5_Wholesale"/>
      <sheetName val="6_Digital"/>
      <sheetName val="7_Legal"/>
      <sheetName val="8_IS"/>
      <sheetName val="9_HR"/>
      <sheetName val="10_Facilities"/>
      <sheetName val="11_Finance"/>
      <sheetName val="12_CX"/>
      <sheetName val="13_SPTO"/>
      <sheetName val="14_Risk"/>
      <sheetName val="15_Audit"/>
      <sheetName val="16_CoS"/>
      <sheetName val="Sheet15"/>
      <sheetName val="Sheet17"/>
      <sheetName val="Sheet19"/>
      <sheetName val="Sheet3"/>
      <sheetName val="SH"/>
      <sheetName val="Sheet13"/>
    </sheetNames>
    <sheetDataSet>
      <sheetData sheetId="0">
        <row r="2">
          <cell r="A2" t="str">
            <v xml:space="preserve">2025/26 2nd Quarter Scorecard </v>
          </cell>
        </row>
        <row r="4">
          <cell r="X4" t="str">
            <v xml:space="preserve">2025/26 Half Year Scorecard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E"/>
      <sheetName val="Summary"/>
      <sheetName val="1_RBB"/>
      <sheetName val="2_CBE Noor"/>
      <sheetName val="3_IB"/>
      <sheetName val="4_Credit"/>
      <sheetName val="5_Wholesale"/>
      <sheetName val="6_Digital"/>
      <sheetName val="7_Legal"/>
      <sheetName val="8_IS"/>
      <sheetName val="9_HR"/>
      <sheetName val="10_Facility"/>
      <sheetName val="11_Finance"/>
      <sheetName val="13_SPTO"/>
      <sheetName val="14_Risk"/>
      <sheetName val="12_CX"/>
      <sheetName val="15_Audit"/>
      <sheetName val="16_CoS"/>
      <sheetName val="Sheet15"/>
      <sheetName val="Sheet17"/>
      <sheetName val="Sheet19"/>
      <sheetName val="Sheet3"/>
      <sheetName val="SH"/>
      <sheetName val="Sheet13"/>
    </sheetNames>
    <sheetDataSet>
      <sheetData sheetId="0">
        <row r="2">
          <cell r="A2" t="str">
            <v xml:space="preserve">2024/25 Nine Month Scorecard </v>
          </cell>
        </row>
        <row r="4">
          <cell r="AA4" t="str">
            <v xml:space="preserve">2024/25 Nine Month Scorecard </v>
          </cell>
        </row>
        <row r="59">
          <cell r="AD59">
            <v>71.233221630678898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A10" sqref="A10"/>
    </sheetView>
  </sheetViews>
  <sheetFormatPr defaultRowHeight="14.5"/>
  <cols>
    <col min="1" max="1" width="50" bestFit="1" customWidth="1"/>
    <col min="2" max="2" width="65.26953125" customWidth="1"/>
    <col min="9" max="10" width="12.81640625" bestFit="1" customWidth="1"/>
    <col min="12" max="12" width="10.81640625" bestFit="1" customWidth="1"/>
  </cols>
  <sheetData>
    <row r="1" spans="1:14">
      <c r="A1" s="259" t="s">
        <v>2</v>
      </c>
      <c r="B1" s="259" t="s">
        <v>3</v>
      </c>
      <c r="C1" s="248" t="s">
        <v>4</v>
      </c>
      <c r="D1" s="259" t="s">
        <v>5</v>
      </c>
      <c r="E1" s="262" t="s">
        <v>6</v>
      </c>
      <c r="F1" s="250"/>
      <c r="G1" s="262" t="s">
        <v>7</v>
      </c>
      <c r="H1" s="250"/>
      <c r="I1" s="260" t="s">
        <v>8</v>
      </c>
      <c r="J1" s="260" t="s">
        <v>9</v>
      </c>
      <c r="K1" s="261" t="str">
        <f>[1]CBE!X4</f>
        <v xml:space="preserve">2025/26 Half Year Scorecard </v>
      </c>
      <c r="L1" s="256"/>
      <c r="M1" s="256"/>
      <c r="N1" s="257"/>
    </row>
    <row r="2" spans="1:14">
      <c r="A2" s="247"/>
      <c r="B2" s="247"/>
      <c r="C2" s="247"/>
      <c r="D2" s="247"/>
      <c r="E2" s="251"/>
      <c r="F2" s="252"/>
      <c r="G2" s="251"/>
      <c r="H2" s="252"/>
      <c r="I2" s="247"/>
      <c r="J2" s="247"/>
      <c r="K2" s="6" t="s">
        <v>10</v>
      </c>
      <c r="L2" s="7" t="s">
        <v>11</v>
      </c>
      <c r="M2" s="7" t="s">
        <v>12</v>
      </c>
      <c r="N2" s="7" t="s">
        <v>13</v>
      </c>
    </row>
    <row r="3" spans="1:14">
      <c r="A3" s="8" t="s">
        <v>14</v>
      </c>
      <c r="B3" s="9" t="s">
        <v>15</v>
      </c>
      <c r="C3" s="10" t="s">
        <v>16</v>
      </c>
      <c r="D3" s="11">
        <v>25</v>
      </c>
      <c r="E3" s="12" t="s">
        <v>17</v>
      </c>
      <c r="F3" s="13">
        <v>0.5</v>
      </c>
      <c r="G3" s="13">
        <v>1</v>
      </c>
      <c r="H3" s="12" t="s">
        <v>18</v>
      </c>
      <c r="I3" s="14">
        <v>190166.9</v>
      </c>
      <c r="J3" s="15">
        <v>456610.7</v>
      </c>
      <c r="K3" s="16">
        <v>129450</v>
      </c>
      <c r="L3" s="16">
        <v>154143.9</v>
      </c>
      <c r="M3" s="17">
        <f t="shared" ref="M3:M20" si="0">IFERROR(K3/L3,0)</f>
        <v>0.83979969366286955</v>
      </c>
      <c r="N3" s="18">
        <f t="shared" ref="N3:N11" si="1">IF(M3&gt;=F3,MIN((M3-F3)*(D3/(G3-F3)),D3),0)</f>
        <v>16.989984683143476</v>
      </c>
    </row>
    <row r="4" spans="1:14">
      <c r="A4" s="19" t="s">
        <v>19</v>
      </c>
      <c r="B4" s="9" t="s">
        <v>20</v>
      </c>
      <c r="C4" s="10" t="s">
        <v>16</v>
      </c>
      <c r="D4" s="11">
        <v>4</v>
      </c>
      <c r="E4" s="12" t="s">
        <v>17</v>
      </c>
      <c r="F4" s="13">
        <v>0.5</v>
      </c>
      <c r="G4" s="13">
        <v>1</v>
      </c>
      <c r="H4" s="12" t="s">
        <v>18</v>
      </c>
      <c r="I4" s="14">
        <v>539</v>
      </c>
      <c r="J4" s="15">
        <v>1369.8</v>
      </c>
      <c r="K4" s="16">
        <v>131.80000000000001</v>
      </c>
      <c r="L4" s="16">
        <v>462.4</v>
      </c>
      <c r="M4" s="17">
        <f t="shared" si="0"/>
        <v>0.28503460207612463</v>
      </c>
      <c r="N4" s="18">
        <f t="shared" si="1"/>
        <v>0</v>
      </c>
    </row>
    <row r="5" spans="1:14">
      <c r="A5" s="19" t="s">
        <v>19</v>
      </c>
      <c r="B5" s="9" t="s">
        <v>21</v>
      </c>
      <c r="C5" s="10" t="s">
        <v>16</v>
      </c>
      <c r="D5" s="11">
        <v>4</v>
      </c>
      <c r="E5" s="12" t="s">
        <v>17</v>
      </c>
      <c r="F5" s="13">
        <v>0.5</v>
      </c>
      <c r="G5" s="13">
        <v>1</v>
      </c>
      <c r="H5" s="12" t="s">
        <v>18</v>
      </c>
      <c r="I5" s="14">
        <v>131999</v>
      </c>
      <c r="J5" s="15">
        <v>243830.1</v>
      </c>
      <c r="K5" s="16">
        <v>67055.289999999994</v>
      </c>
      <c r="L5" s="18">
        <v>82312.800000000003</v>
      </c>
      <c r="M5" s="17">
        <f t="shared" si="0"/>
        <v>0.81463988589866931</v>
      </c>
      <c r="N5" s="18">
        <f t="shared" si="1"/>
        <v>2.5171190871893545</v>
      </c>
    </row>
    <row r="6" spans="1:14">
      <c r="A6" s="19" t="s">
        <v>19</v>
      </c>
      <c r="B6" s="9" t="s">
        <v>22</v>
      </c>
      <c r="C6" s="10" t="s">
        <v>16</v>
      </c>
      <c r="D6" s="11">
        <v>4</v>
      </c>
      <c r="E6" s="12" t="s">
        <v>17</v>
      </c>
      <c r="F6" s="13">
        <v>0.5</v>
      </c>
      <c r="G6" s="13">
        <v>1</v>
      </c>
      <c r="H6" s="12" t="s">
        <v>18</v>
      </c>
      <c r="I6" s="14">
        <v>187171</v>
      </c>
      <c r="J6" s="15">
        <v>188580.2</v>
      </c>
      <c r="K6" s="16">
        <v>54612.27</v>
      </c>
      <c r="L6" s="18">
        <v>63661.4</v>
      </c>
      <c r="M6" s="17">
        <f t="shared" si="0"/>
        <v>0.85785530949680644</v>
      </c>
      <c r="N6" s="18">
        <f t="shared" si="1"/>
        <v>2.8628424759744515</v>
      </c>
    </row>
    <row r="7" spans="1:14">
      <c r="A7" s="19" t="s">
        <v>19</v>
      </c>
      <c r="B7" s="9" t="s">
        <v>23</v>
      </c>
      <c r="C7" s="10" t="s">
        <v>16</v>
      </c>
      <c r="D7" s="11">
        <v>4</v>
      </c>
      <c r="E7" s="12" t="s">
        <v>17</v>
      </c>
      <c r="F7" s="13">
        <v>0.5</v>
      </c>
      <c r="G7" s="13">
        <v>1</v>
      </c>
      <c r="H7" s="12" t="s">
        <v>18</v>
      </c>
      <c r="I7" s="14">
        <v>195991</v>
      </c>
      <c r="J7" s="15">
        <v>22830.5</v>
      </c>
      <c r="K7" s="16">
        <v>7664.19</v>
      </c>
      <c r="L7" s="18">
        <v>7707.2</v>
      </c>
      <c r="M7" s="17">
        <f t="shared" si="0"/>
        <v>0.99441950384056466</v>
      </c>
      <c r="N7" s="18">
        <f t="shared" si="1"/>
        <v>3.9553560307245172</v>
      </c>
    </row>
    <row r="8" spans="1:14">
      <c r="A8" s="19" t="s">
        <v>24</v>
      </c>
      <c r="B8" s="12" t="s">
        <v>25</v>
      </c>
      <c r="C8" s="10" t="s">
        <v>26</v>
      </c>
      <c r="D8" s="11">
        <v>10</v>
      </c>
      <c r="E8" s="12" t="s">
        <v>17</v>
      </c>
      <c r="F8" s="13">
        <v>0.5</v>
      </c>
      <c r="G8" s="13">
        <v>1</v>
      </c>
      <c r="H8" s="12" t="s">
        <v>18</v>
      </c>
      <c r="I8" s="14">
        <v>502031.6</v>
      </c>
      <c r="J8" s="15">
        <v>1313357</v>
      </c>
      <c r="K8" s="16">
        <v>160894</v>
      </c>
      <c r="L8" s="16">
        <v>427496.3</v>
      </c>
      <c r="M8" s="17">
        <f t="shared" si="0"/>
        <v>0.3763634913331414</v>
      </c>
      <c r="N8" s="18">
        <f t="shared" si="1"/>
        <v>0</v>
      </c>
    </row>
    <row r="9" spans="1:14">
      <c r="A9" s="19" t="s">
        <v>24</v>
      </c>
      <c r="B9" s="12" t="s">
        <v>27</v>
      </c>
      <c r="C9" s="10" t="s">
        <v>26</v>
      </c>
      <c r="D9" s="11">
        <v>6</v>
      </c>
      <c r="E9" s="12" t="s">
        <v>17</v>
      </c>
      <c r="F9" s="13">
        <v>0.5</v>
      </c>
      <c r="G9" s="13">
        <v>1</v>
      </c>
      <c r="H9" s="12" t="s">
        <v>18</v>
      </c>
      <c r="I9" s="14">
        <v>347871</v>
      </c>
      <c r="J9" s="15">
        <v>730139.2</v>
      </c>
      <c r="K9" s="16">
        <v>216695</v>
      </c>
      <c r="L9" s="18">
        <v>246603.3</v>
      </c>
      <c r="M9" s="17">
        <f t="shared" si="0"/>
        <v>0.87871897902420615</v>
      </c>
      <c r="N9" s="18">
        <f t="shared" si="1"/>
        <v>4.5446277482904733</v>
      </c>
    </row>
    <row r="10" spans="1:14">
      <c r="A10" s="8" t="s">
        <v>28</v>
      </c>
      <c r="B10" s="21" t="s">
        <v>29</v>
      </c>
      <c r="C10" s="10" t="s">
        <v>16</v>
      </c>
      <c r="D10" s="11">
        <v>6</v>
      </c>
      <c r="E10" s="12" t="s">
        <v>17</v>
      </c>
      <c r="F10" s="13">
        <v>0.5</v>
      </c>
      <c r="G10" s="13">
        <v>1</v>
      </c>
      <c r="H10" s="12" t="s">
        <v>18</v>
      </c>
      <c r="I10" s="14">
        <v>34553</v>
      </c>
      <c r="J10" s="15">
        <v>95581.3</v>
      </c>
      <c r="K10" s="16">
        <v>29483.78</v>
      </c>
      <c r="L10" s="18">
        <v>37990.199999999997</v>
      </c>
      <c r="M10" s="17">
        <f t="shared" si="0"/>
        <v>0.77608909666177073</v>
      </c>
      <c r="N10" s="18">
        <f t="shared" si="1"/>
        <v>3.3130691599412487</v>
      </c>
    </row>
    <row r="11" spans="1:14">
      <c r="A11" s="19" t="s">
        <v>30</v>
      </c>
      <c r="B11" s="21" t="s">
        <v>31</v>
      </c>
      <c r="C11" s="10" t="s">
        <v>16</v>
      </c>
      <c r="D11" s="11">
        <v>6</v>
      </c>
      <c r="E11" s="12" t="s">
        <v>17</v>
      </c>
      <c r="F11" s="13">
        <v>0.5</v>
      </c>
      <c r="G11" s="13">
        <v>1</v>
      </c>
      <c r="H11" s="12" t="s">
        <v>18</v>
      </c>
      <c r="I11" s="14">
        <v>24065.3</v>
      </c>
      <c r="J11" s="15">
        <v>24761.8</v>
      </c>
      <c r="K11" s="16">
        <v>15069.85</v>
      </c>
      <c r="L11" s="18">
        <v>7572.9</v>
      </c>
      <c r="M11" s="17">
        <f t="shared" si="0"/>
        <v>1.9899708169921695</v>
      </c>
      <c r="N11" s="18">
        <f t="shared" si="1"/>
        <v>6</v>
      </c>
    </row>
    <row r="12" spans="1:14">
      <c r="A12" s="19" t="s">
        <v>30</v>
      </c>
      <c r="B12" s="9" t="s">
        <v>32</v>
      </c>
      <c r="C12" s="10" t="s">
        <v>33</v>
      </c>
      <c r="D12" s="11">
        <v>1</v>
      </c>
      <c r="E12" s="12" t="s">
        <v>34</v>
      </c>
      <c r="F12" s="13">
        <v>1.01</v>
      </c>
      <c r="G12" s="13">
        <v>0.95</v>
      </c>
      <c r="H12" s="12" t="s">
        <v>18</v>
      </c>
      <c r="I12" s="14">
        <v>0.01</v>
      </c>
      <c r="J12" s="14">
        <v>0.01</v>
      </c>
      <c r="K12" s="16">
        <v>0.63</v>
      </c>
      <c r="L12" s="16">
        <v>1</v>
      </c>
      <c r="M12" s="17">
        <f t="shared" si="0"/>
        <v>0.63</v>
      </c>
      <c r="N12" s="18">
        <f>IF(K12=0,"-",IF(M12&lt;=F12,MIN(MAX((F12-M12)*(D12/(F12-G12)),0),D12),0))</f>
        <v>1</v>
      </c>
    </row>
    <row r="13" spans="1:14">
      <c r="A13" s="8" t="s">
        <v>35</v>
      </c>
      <c r="B13" s="9" t="s">
        <v>36</v>
      </c>
      <c r="C13" s="10" t="s">
        <v>16</v>
      </c>
      <c r="D13" s="11">
        <v>10</v>
      </c>
      <c r="E13" s="12" t="s">
        <v>17</v>
      </c>
      <c r="F13" s="13">
        <v>0.7</v>
      </c>
      <c r="G13" s="13">
        <v>1</v>
      </c>
      <c r="H13" s="12" t="s">
        <v>18</v>
      </c>
      <c r="I13" s="14">
        <v>7597.5</v>
      </c>
      <c r="J13" s="15">
        <v>15792.7</v>
      </c>
      <c r="K13" s="16">
        <v>4757.18</v>
      </c>
      <c r="L13" s="18">
        <v>5186.3</v>
      </c>
      <c r="M13" s="17">
        <f t="shared" si="0"/>
        <v>0.91725893218672272</v>
      </c>
      <c r="N13" s="18">
        <f>IF(M13&gt;=F13,MIN((M13-F13)*(D13/(G13-F13)),D13),0)</f>
        <v>7.2419644062240911</v>
      </c>
    </row>
    <row r="14" spans="1:14">
      <c r="A14" s="8" t="s">
        <v>37</v>
      </c>
      <c r="B14" s="9" t="s">
        <v>38</v>
      </c>
      <c r="C14" s="10" t="s">
        <v>16</v>
      </c>
      <c r="D14" s="11">
        <v>10</v>
      </c>
      <c r="E14" s="12" t="s">
        <v>39</v>
      </c>
      <c r="F14" s="13">
        <v>1.02</v>
      </c>
      <c r="G14" s="13">
        <v>0.95</v>
      </c>
      <c r="H14" s="12" t="s">
        <v>40</v>
      </c>
      <c r="I14" s="14">
        <v>2653.2</v>
      </c>
      <c r="J14" s="15">
        <v>4827.7</v>
      </c>
      <c r="K14" s="22"/>
      <c r="L14" s="23"/>
      <c r="M14" s="17">
        <f t="shared" si="0"/>
        <v>0</v>
      </c>
      <c r="N14" s="18" t="str">
        <f>IF(K14=0,"-",IF(M14&lt;=F14,MIN(MAX((F14-M14)*(D14/(F14-G14)),0),D14),0))</f>
        <v>-</v>
      </c>
    </row>
    <row r="15" spans="1:14">
      <c r="A15" s="19" t="s">
        <v>41</v>
      </c>
      <c r="B15" s="21" t="s">
        <v>42</v>
      </c>
      <c r="C15" s="10" t="s">
        <v>43</v>
      </c>
      <c r="D15" s="11">
        <v>2</v>
      </c>
      <c r="E15" s="12" t="s">
        <v>17</v>
      </c>
      <c r="F15" s="13">
        <v>0.7</v>
      </c>
      <c r="G15" s="13">
        <v>1</v>
      </c>
      <c r="H15" s="12" t="s">
        <v>18</v>
      </c>
      <c r="I15" s="14">
        <v>2149733</v>
      </c>
      <c r="J15" s="15">
        <v>5019371</v>
      </c>
      <c r="K15" s="16">
        <v>1220943</v>
      </c>
      <c r="L15" s="18">
        <v>1546019</v>
      </c>
      <c r="M15" s="17">
        <f t="shared" si="0"/>
        <v>0.7897335026283635</v>
      </c>
      <c r="N15" s="18">
        <f t="shared" ref="N15:N20" si="2">IF(M15&gt;=F15,MIN((M15-F15)*(D15/(G15-F15)),D15),0)</f>
        <v>0.59822335085575695</v>
      </c>
    </row>
    <row r="16" spans="1:14">
      <c r="A16" s="19" t="s">
        <v>41</v>
      </c>
      <c r="B16" s="21" t="s">
        <v>44</v>
      </c>
      <c r="C16" s="10" t="s">
        <v>33</v>
      </c>
      <c r="D16" s="11">
        <v>2</v>
      </c>
      <c r="E16" s="12" t="s">
        <v>17</v>
      </c>
      <c r="F16" s="13">
        <v>0.7</v>
      </c>
      <c r="G16" s="13">
        <v>1</v>
      </c>
      <c r="H16" s="12" t="s">
        <v>18</v>
      </c>
      <c r="I16" s="14">
        <v>0.46500000000000002</v>
      </c>
      <c r="J16" s="15">
        <v>0.63500000000000001</v>
      </c>
      <c r="K16" s="25">
        <v>0.47</v>
      </c>
      <c r="L16" s="16">
        <v>0.55300000000000005</v>
      </c>
      <c r="M16" s="17">
        <f t="shared" si="0"/>
        <v>0.84990958408679917</v>
      </c>
      <c r="N16" s="18">
        <f t="shared" si="2"/>
        <v>0.99939722724532809</v>
      </c>
    </row>
    <row r="17" spans="1:14">
      <c r="A17" s="19" t="s">
        <v>41</v>
      </c>
      <c r="B17" s="21" t="s">
        <v>45</v>
      </c>
      <c r="C17" s="10" t="s">
        <v>43</v>
      </c>
      <c r="D17" s="11">
        <v>2</v>
      </c>
      <c r="E17" s="12" t="s">
        <v>17</v>
      </c>
      <c r="F17" s="13">
        <v>0.5</v>
      </c>
      <c r="G17" s="13">
        <v>1</v>
      </c>
      <c r="H17" s="12" t="s">
        <v>18</v>
      </c>
      <c r="I17" s="14"/>
      <c r="J17" s="15">
        <v>42956</v>
      </c>
      <c r="K17" s="16">
        <v>15591</v>
      </c>
      <c r="L17" s="18">
        <v>14261</v>
      </c>
      <c r="M17" s="17">
        <f t="shared" si="0"/>
        <v>1.0932613421218709</v>
      </c>
      <c r="N17" s="18">
        <f t="shared" si="2"/>
        <v>2</v>
      </c>
    </row>
    <row r="18" spans="1:14">
      <c r="A18" s="8" t="s">
        <v>46</v>
      </c>
      <c r="B18" s="9" t="s">
        <v>47</v>
      </c>
      <c r="C18" s="10" t="s">
        <v>33</v>
      </c>
      <c r="D18" s="11">
        <v>2</v>
      </c>
      <c r="E18" s="12" t="s">
        <v>48</v>
      </c>
      <c r="F18" s="13">
        <v>0.73799999999999999</v>
      </c>
      <c r="G18" s="13">
        <v>1</v>
      </c>
      <c r="H18" s="12" t="s">
        <v>18</v>
      </c>
      <c r="I18" s="14"/>
      <c r="J18" s="15" t="s">
        <v>49</v>
      </c>
      <c r="K18" s="22"/>
      <c r="L18" s="26"/>
      <c r="M18" s="17">
        <f t="shared" si="0"/>
        <v>0</v>
      </c>
      <c r="N18" s="18">
        <f t="shared" si="2"/>
        <v>0</v>
      </c>
    </row>
    <row r="19" spans="1:14">
      <c r="A19" s="19" t="s">
        <v>50</v>
      </c>
      <c r="B19" s="9" t="s">
        <v>51</v>
      </c>
      <c r="C19" s="10" t="s">
        <v>33</v>
      </c>
      <c r="D19" s="11">
        <v>1</v>
      </c>
      <c r="E19" s="12" t="s">
        <v>48</v>
      </c>
      <c r="F19" s="13">
        <v>0.81799999999999995</v>
      </c>
      <c r="G19" s="13">
        <v>1</v>
      </c>
      <c r="H19" s="12" t="s">
        <v>18</v>
      </c>
      <c r="I19" s="14"/>
      <c r="J19" s="15" t="s">
        <v>49</v>
      </c>
      <c r="K19" s="22"/>
      <c r="L19" s="27"/>
      <c r="M19" s="17">
        <f t="shared" si="0"/>
        <v>0</v>
      </c>
      <c r="N19" s="18">
        <f t="shared" si="2"/>
        <v>0</v>
      </c>
    </row>
    <row r="20" spans="1:14">
      <c r="A20" s="19" t="s">
        <v>50</v>
      </c>
      <c r="B20" s="9" t="s">
        <v>52</v>
      </c>
      <c r="C20" s="10" t="s">
        <v>33</v>
      </c>
      <c r="D20" s="11">
        <v>1</v>
      </c>
      <c r="E20" s="12" t="s">
        <v>48</v>
      </c>
      <c r="F20" s="13">
        <v>0.85199999999999998</v>
      </c>
      <c r="G20" s="13">
        <v>1</v>
      </c>
      <c r="H20" s="12" t="s">
        <v>18</v>
      </c>
      <c r="I20" s="14"/>
      <c r="J20" s="15" t="s">
        <v>49</v>
      </c>
      <c r="K20" s="22"/>
      <c r="L20" s="27"/>
      <c r="M20" s="17">
        <f t="shared" si="0"/>
        <v>0</v>
      </c>
      <c r="N20" s="18">
        <f t="shared" si="2"/>
        <v>0</v>
      </c>
    </row>
    <row r="21" spans="1:14">
      <c r="A21" s="32"/>
      <c r="B21" s="33"/>
      <c r="C21" s="29"/>
      <c r="D21" s="29"/>
      <c r="E21" s="34"/>
      <c r="F21" s="35"/>
      <c r="G21" s="35"/>
      <c r="H21" s="36"/>
      <c r="I21" s="37"/>
      <c r="J21" s="38"/>
      <c r="K21" s="265" t="s">
        <v>57</v>
      </c>
      <c r="L21" s="256"/>
      <c r="M21" s="256"/>
      <c r="N21" s="18" t="e">
        <f>#REF!*0.4</f>
        <v>#REF!</v>
      </c>
    </row>
    <row r="22" spans="1:14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265" t="s">
        <v>58</v>
      </c>
      <c r="L22" s="256"/>
      <c r="M22" s="256"/>
      <c r="N22" s="18" t="e">
        <f>#REF!+N21</f>
        <v>#REF!</v>
      </c>
    </row>
    <row r="23" spans="1:14">
      <c r="A23" s="40"/>
      <c r="B23" s="2"/>
      <c r="C23" s="4"/>
      <c r="D23" s="4"/>
      <c r="E23" s="4"/>
      <c r="F23" s="3"/>
      <c r="G23" s="3"/>
      <c r="H23" s="4"/>
      <c r="I23" s="4"/>
      <c r="J23" s="4"/>
      <c r="K23" s="20"/>
      <c r="L23" s="20"/>
      <c r="M23" s="20"/>
      <c r="N23" s="20"/>
    </row>
    <row r="24" spans="1:14">
      <c r="A24" s="40"/>
      <c r="B24" s="2"/>
      <c r="C24" s="4"/>
      <c r="D24" s="4"/>
      <c r="E24" s="4"/>
      <c r="F24" s="3"/>
      <c r="G24" s="3"/>
      <c r="H24" s="4"/>
      <c r="I24" s="4"/>
      <c r="J24" s="4"/>
      <c r="K24" s="263" t="s">
        <v>60</v>
      </c>
      <c r="L24" s="264"/>
      <c r="M24" s="264"/>
      <c r="N24" s="24">
        <f>D18+D19+D20+D14</f>
        <v>14</v>
      </c>
    </row>
    <row r="25" spans="1:14">
      <c r="A25" s="40"/>
      <c r="B25" s="2"/>
      <c r="C25" s="4"/>
      <c r="D25" s="4"/>
      <c r="E25" s="4"/>
      <c r="F25" s="3"/>
      <c r="G25" s="3"/>
      <c r="H25" s="4"/>
      <c r="I25" s="4"/>
      <c r="J25" s="4"/>
      <c r="K25" s="263" t="s">
        <v>61</v>
      </c>
      <c r="L25" s="264"/>
      <c r="M25" s="24"/>
      <c r="N25" s="24" t="e">
        <f>(#REF!*100)/(100-N24)</f>
        <v>#REF!</v>
      </c>
    </row>
  </sheetData>
  <mergeCells count="13">
    <mergeCell ref="K25:L25"/>
    <mergeCell ref="K21:M21"/>
    <mergeCell ref="K22:M22"/>
    <mergeCell ref="J1:J2"/>
    <mergeCell ref="K1:N1"/>
    <mergeCell ref="E1:F2"/>
    <mergeCell ref="G1:H2"/>
    <mergeCell ref="K24:M24"/>
    <mergeCell ref="A1:A2"/>
    <mergeCell ref="B1:B2"/>
    <mergeCell ref="C1:C2"/>
    <mergeCell ref="D1:D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2"/>
  <sheetViews>
    <sheetView tabSelected="1" workbookViewId="0">
      <selection activeCell="B17" sqref="B17"/>
    </sheetView>
  </sheetViews>
  <sheetFormatPr defaultColWidth="14.453125" defaultRowHeight="14.5"/>
  <cols>
    <col min="1" max="1" width="30.453125" customWidth="1"/>
    <col min="2" max="2" width="49.1796875" customWidth="1"/>
    <col min="3" max="3" width="14.1796875" customWidth="1"/>
    <col min="4" max="8" width="8.54296875" customWidth="1"/>
    <col min="9" max="9" width="12" customWidth="1"/>
    <col min="10" max="10" width="10.54296875" customWidth="1"/>
    <col min="11" max="11" width="14.1796875" customWidth="1"/>
    <col min="12" max="12" width="11.7265625" customWidth="1"/>
    <col min="13" max="13" width="8" customWidth="1"/>
    <col min="14" max="14" width="9.1796875" customWidth="1"/>
  </cols>
  <sheetData>
    <row r="1" spans="1:25" ht="13.5" customHeight="1">
      <c r="A1" s="246" t="s">
        <v>2</v>
      </c>
      <c r="B1" s="246" t="s">
        <v>3</v>
      </c>
      <c r="C1" s="248" t="s">
        <v>4</v>
      </c>
      <c r="D1" s="246" t="s">
        <v>5</v>
      </c>
      <c r="E1" s="249" t="s">
        <v>6</v>
      </c>
      <c r="F1" s="250"/>
      <c r="G1" s="253" t="s">
        <v>7</v>
      </c>
      <c r="H1" s="250"/>
      <c r="I1" s="254" t="s">
        <v>8</v>
      </c>
      <c r="J1" s="254" t="s">
        <v>9</v>
      </c>
      <c r="K1" s="255" t="str">
        <f>[1]CBE!X4</f>
        <v xml:space="preserve">2025/26 Half Year Scorecard </v>
      </c>
      <c r="L1" s="256"/>
      <c r="M1" s="256"/>
      <c r="N1" s="257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247"/>
      <c r="B2" s="247"/>
      <c r="C2" s="247"/>
      <c r="D2" s="247"/>
      <c r="E2" s="251"/>
      <c r="F2" s="252"/>
      <c r="G2" s="251"/>
      <c r="H2" s="252"/>
      <c r="I2" s="247"/>
      <c r="J2" s="247"/>
      <c r="K2" s="41" t="s">
        <v>10</v>
      </c>
      <c r="L2" s="41" t="s">
        <v>11</v>
      </c>
      <c r="M2" s="41" t="s">
        <v>12</v>
      </c>
      <c r="N2" s="41" t="s">
        <v>13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>
      <c r="A3" s="258" t="s">
        <v>63</v>
      </c>
      <c r="B3" s="9" t="s">
        <v>64</v>
      </c>
      <c r="C3" s="9" t="s">
        <v>16</v>
      </c>
      <c r="D3" s="8">
        <v>5</v>
      </c>
      <c r="E3" s="12" t="s">
        <v>17</v>
      </c>
      <c r="F3" s="13">
        <v>0.7</v>
      </c>
      <c r="G3" s="13">
        <v>1</v>
      </c>
      <c r="H3" s="12" t="s">
        <v>65</v>
      </c>
      <c r="I3" s="43"/>
      <c r="J3" s="44">
        <v>1337.3</v>
      </c>
      <c r="K3" s="16">
        <v>448.3</v>
      </c>
      <c r="L3" s="16">
        <v>408.2</v>
      </c>
      <c r="M3" s="45">
        <f t="shared" ref="M3:M28" si="0">IFERROR(K3/L3,0)</f>
        <v>1.098236158745713</v>
      </c>
      <c r="N3" s="46">
        <f t="shared" ref="N3:N30" si="1">IF(M3&gt;=F3,MIN((M3-F3)*(D3/(G3-F3)),D3),0)</f>
        <v>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247"/>
      <c r="B4" s="9" t="s">
        <v>66</v>
      </c>
      <c r="C4" s="9" t="s">
        <v>26</v>
      </c>
      <c r="D4" s="8">
        <v>9</v>
      </c>
      <c r="E4" s="12" t="s">
        <v>17</v>
      </c>
      <c r="F4" s="13">
        <v>0.7</v>
      </c>
      <c r="G4" s="13">
        <v>1</v>
      </c>
      <c r="H4" s="12" t="s">
        <v>65</v>
      </c>
      <c r="I4" s="43">
        <v>49549.599999999999</v>
      </c>
      <c r="J4" s="44">
        <v>75564.100000000006</v>
      </c>
      <c r="K4" s="16">
        <v>13886</v>
      </c>
      <c r="L4" s="16">
        <v>22475.7</v>
      </c>
      <c r="M4" s="45">
        <f t="shared" si="0"/>
        <v>0.61782280418407431</v>
      </c>
      <c r="N4" s="46">
        <f t="shared" si="1"/>
        <v>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>
      <c r="A5" s="47" t="s">
        <v>67</v>
      </c>
      <c r="B5" s="9" t="s">
        <v>68</v>
      </c>
      <c r="C5" s="9" t="s">
        <v>16</v>
      </c>
      <c r="D5" s="8">
        <v>13</v>
      </c>
      <c r="E5" s="12" t="s">
        <v>17</v>
      </c>
      <c r="F5" s="13">
        <v>0.7</v>
      </c>
      <c r="G5" s="13">
        <v>1</v>
      </c>
      <c r="H5" s="12" t="s">
        <v>65</v>
      </c>
      <c r="I5" s="48">
        <v>5015.3999999999996</v>
      </c>
      <c r="J5" s="44">
        <v>10256.700000000001</v>
      </c>
      <c r="K5" s="16">
        <v>4087.8</v>
      </c>
      <c r="L5" s="16">
        <v>3377.7</v>
      </c>
      <c r="M5" s="45">
        <f t="shared" si="0"/>
        <v>1.2102318145483615</v>
      </c>
      <c r="N5" s="46">
        <f t="shared" si="1"/>
        <v>13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s="326" customFormat="1" ht="13.5" customHeight="1">
      <c r="A6" s="315" t="s">
        <v>69</v>
      </c>
      <c r="B6" s="316" t="s">
        <v>70</v>
      </c>
      <c r="C6" s="316" t="s">
        <v>43</v>
      </c>
      <c r="D6" s="318">
        <v>1</v>
      </c>
      <c r="E6" s="317" t="s">
        <v>17</v>
      </c>
      <c r="F6" s="319">
        <v>0.7</v>
      </c>
      <c r="G6" s="319">
        <v>1</v>
      </c>
      <c r="H6" s="317" t="s">
        <v>65</v>
      </c>
      <c r="I6" s="330"/>
      <c r="J6" s="321">
        <v>3578733</v>
      </c>
      <c r="K6" s="322">
        <v>872694</v>
      </c>
      <c r="L6" s="322">
        <v>1178624</v>
      </c>
      <c r="M6" s="323">
        <f t="shared" si="0"/>
        <v>0.74043460849261511</v>
      </c>
      <c r="N6" s="324">
        <f t="shared" si="1"/>
        <v>0.13478202830871716</v>
      </c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</row>
    <row r="7" spans="1:25" s="326" customFormat="1" ht="13.5" customHeight="1">
      <c r="A7" s="315" t="s">
        <v>69</v>
      </c>
      <c r="B7" s="316" t="s">
        <v>71</v>
      </c>
      <c r="C7" s="316" t="s">
        <v>43</v>
      </c>
      <c r="D7" s="318">
        <v>1</v>
      </c>
      <c r="E7" s="317" t="s">
        <v>17</v>
      </c>
      <c r="F7" s="319">
        <v>0.7</v>
      </c>
      <c r="G7" s="319">
        <v>1</v>
      </c>
      <c r="H7" s="317" t="s">
        <v>65</v>
      </c>
      <c r="I7" s="321">
        <v>923200</v>
      </c>
      <c r="J7" s="321">
        <v>5511447</v>
      </c>
      <c r="K7" s="322">
        <v>1912983</v>
      </c>
      <c r="L7" s="322">
        <v>1822862</v>
      </c>
      <c r="M7" s="323">
        <f t="shared" si="0"/>
        <v>1.0494392883279151</v>
      </c>
      <c r="N7" s="324">
        <f t="shared" si="1"/>
        <v>1</v>
      </c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</row>
    <row r="8" spans="1:25" s="326" customFormat="1" ht="13.5" customHeight="1">
      <c r="A8" s="315" t="s">
        <v>69</v>
      </c>
      <c r="B8" s="316" t="s">
        <v>72</v>
      </c>
      <c r="C8" s="316" t="s">
        <v>33</v>
      </c>
      <c r="D8" s="318">
        <v>2</v>
      </c>
      <c r="E8" s="317" t="s">
        <v>17</v>
      </c>
      <c r="F8" s="319">
        <v>0.7</v>
      </c>
      <c r="G8" s="319">
        <v>1</v>
      </c>
      <c r="H8" s="317" t="s">
        <v>65</v>
      </c>
      <c r="I8" s="320">
        <v>0.156</v>
      </c>
      <c r="J8" s="320">
        <v>0.32900000000000001</v>
      </c>
      <c r="K8" s="331">
        <v>0.23</v>
      </c>
      <c r="L8" s="331">
        <v>0.248</v>
      </c>
      <c r="M8" s="323">
        <f t="shared" si="0"/>
        <v>0.92741935483870974</v>
      </c>
      <c r="N8" s="324">
        <f t="shared" si="1"/>
        <v>1.5161290322580652</v>
      </c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</row>
    <row r="9" spans="1:25" s="326" customFormat="1" ht="13.5" customHeight="1">
      <c r="A9" s="315" t="s">
        <v>69</v>
      </c>
      <c r="B9" s="316" t="s">
        <v>73</v>
      </c>
      <c r="C9" s="316" t="s">
        <v>43</v>
      </c>
      <c r="D9" s="318">
        <v>1</v>
      </c>
      <c r="E9" s="317" t="s">
        <v>17</v>
      </c>
      <c r="F9" s="319">
        <v>0.7</v>
      </c>
      <c r="G9" s="319">
        <v>1</v>
      </c>
      <c r="H9" s="317" t="s">
        <v>65</v>
      </c>
      <c r="I9" s="320"/>
      <c r="J9" s="321">
        <v>6539114</v>
      </c>
      <c r="K9" s="322">
        <v>909070</v>
      </c>
      <c r="L9" s="322">
        <v>2106030</v>
      </c>
      <c r="M9" s="323">
        <f t="shared" si="0"/>
        <v>0.43165102111555864</v>
      </c>
      <c r="N9" s="324">
        <f t="shared" si="1"/>
        <v>0</v>
      </c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</row>
    <row r="10" spans="1:25" s="326" customFormat="1" ht="13.5" customHeight="1">
      <c r="A10" s="315" t="s">
        <v>69</v>
      </c>
      <c r="B10" s="316" t="s">
        <v>74</v>
      </c>
      <c r="C10" s="316" t="s">
        <v>43</v>
      </c>
      <c r="D10" s="318">
        <v>1</v>
      </c>
      <c r="E10" s="317" t="s">
        <v>17</v>
      </c>
      <c r="F10" s="319">
        <v>0.7</v>
      </c>
      <c r="G10" s="319">
        <v>1</v>
      </c>
      <c r="H10" s="317" t="s">
        <v>65</v>
      </c>
      <c r="I10" s="321">
        <v>1986639</v>
      </c>
      <c r="J10" s="321">
        <v>8143652</v>
      </c>
      <c r="K10" s="322">
        <v>2838082</v>
      </c>
      <c r="L10" s="322">
        <v>2640876</v>
      </c>
      <c r="M10" s="323">
        <f t="shared" si="0"/>
        <v>1.0746744640793433</v>
      </c>
      <c r="N10" s="324">
        <f t="shared" si="1"/>
        <v>1</v>
      </c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</row>
    <row r="11" spans="1:25" s="326" customFormat="1" ht="13.5" customHeight="1">
      <c r="A11" s="315" t="s">
        <v>69</v>
      </c>
      <c r="B11" s="316" t="s">
        <v>75</v>
      </c>
      <c r="C11" s="316" t="s">
        <v>33</v>
      </c>
      <c r="D11" s="318">
        <v>2</v>
      </c>
      <c r="E11" s="317" t="s">
        <v>17</v>
      </c>
      <c r="F11" s="319">
        <v>0.7</v>
      </c>
      <c r="G11" s="319">
        <v>1</v>
      </c>
      <c r="H11" s="317" t="s">
        <v>65</v>
      </c>
      <c r="I11" s="320">
        <v>0.44600000000000001</v>
      </c>
      <c r="J11" s="320">
        <v>0.67800000000000005</v>
      </c>
      <c r="K11" s="331">
        <v>0.61</v>
      </c>
      <c r="L11" s="331">
        <v>0.57799999999999996</v>
      </c>
      <c r="M11" s="323">
        <f t="shared" si="0"/>
        <v>1.0553633217993079</v>
      </c>
      <c r="N11" s="324">
        <f t="shared" si="1"/>
        <v>2</v>
      </c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</row>
    <row r="12" spans="1:25" s="326" customFormat="1" ht="13.5" customHeight="1">
      <c r="A12" s="315" t="s">
        <v>69</v>
      </c>
      <c r="B12" s="316" t="s">
        <v>76</v>
      </c>
      <c r="C12" s="316" t="s">
        <v>43</v>
      </c>
      <c r="D12" s="318">
        <v>1</v>
      </c>
      <c r="E12" s="317" t="s">
        <v>17</v>
      </c>
      <c r="F12" s="319">
        <v>0.7</v>
      </c>
      <c r="G12" s="319">
        <v>1</v>
      </c>
      <c r="H12" s="317" t="s">
        <v>65</v>
      </c>
      <c r="I12" s="320"/>
      <c r="J12" s="321">
        <v>679994</v>
      </c>
      <c r="K12" s="322">
        <v>62580</v>
      </c>
      <c r="L12" s="322">
        <v>199994</v>
      </c>
      <c r="M12" s="323">
        <f t="shared" si="0"/>
        <v>0.31290938728161843</v>
      </c>
      <c r="N12" s="324">
        <f t="shared" si="1"/>
        <v>0</v>
      </c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</row>
    <row r="13" spans="1:25" s="326" customFormat="1" ht="13.5" customHeight="1">
      <c r="A13" s="315" t="s">
        <v>69</v>
      </c>
      <c r="B13" s="317" t="s">
        <v>77</v>
      </c>
      <c r="C13" s="316" t="s">
        <v>43</v>
      </c>
      <c r="D13" s="318">
        <v>1</v>
      </c>
      <c r="E13" s="317" t="s">
        <v>17</v>
      </c>
      <c r="F13" s="319">
        <v>0.7</v>
      </c>
      <c r="G13" s="319">
        <v>1</v>
      </c>
      <c r="H13" s="317" t="s">
        <v>65</v>
      </c>
      <c r="I13" s="321">
        <v>58563</v>
      </c>
      <c r="J13" s="321">
        <v>698930</v>
      </c>
      <c r="K13" s="322">
        <v>64212</v>
      </c>
      <c r="L13" s="322">
        <v>206306</v>
      </c>
      <c r="M13" s="323">
        <f t="shared" si="0"/>
        <v>0.3112464009771892</v>
      </c>
      <c r="N13" s="324">
        <f t="shared" si="1"/>
        <v>0</v>
      </c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</row>
    <row r="14" spans="1:25" s="326" customFormat="1" ht="13.5" customHeight="1">
      <c r="A14" s="315" t="s">
        <v>69</v>
      </c>
      <c r="B14" s="317" t="s">
        <v>78</v>
      </c>
      <c r="C14" s="316" t="s">
        <v>33</v>
      </c>
      <c r="D14" s="318">
        <v>2</v>
      </c>
      <c r="E14" s="317" t="s">
        <v>17</v>
      </c>
      <c r="F14" s="319">
        <v>0.7</v>
      </c>
      <c r="G14" s="319">
        <v>1</v>
      </c>
      <c r="H14" s="317" t="s">
        <v>65</v>
      </c>
      <c r="I14" s="320">
        <v>0.63100000000000001</v>
      </c>
      <c r="J14" s="320">
        <v>0.93600000000000005</v>
      </c>
      <c r="K14" s="331">
        <v>0.22</v>
      </c>
      <c r="L14" s="331">
        <v>0.86499999999999999</v>
      </c>
      <c r="M14" s="323">
        <f t="shared" si="0"/>
        <v>0.25433526011560692</v>
      </c>
      <c r="N14" s="324">
        <f t="shared" si="1"/>
        <v>0</v>
      </c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</row>
    <row r="15" spans="1:25" s="326" customFormat="1" ht="13.5" customHeight="1">
      <c r="A15" s="315" t="s">
        <v>69</v>
      </c>
      <c r="B15" s="316" t="s">
        <v>79</v>
      </c>
      <c r="C15" s="317" t="s">
        <v>43</v>
      </c>
      <c r="D15" s="318">
        <v>1</v>
      </c>
      <c r="E15" s="317" t="s">
        <v>17</v>
      </c>
      <c r="F15" s="319">
        <v>0.7</v>
      </c>
      <c r="G15" s="319">
        <v>1</v>
      </c>
      <c r="H15" s="317" t="s">
        <v>65</v>
      </c>
      <c r="I15" s="320"/>
      <c r="J15" s="321">
        <v>4813992</v>
      </c>
      <c r="K15" s="322">
        <v>393536</v>
      </c>
      <c r="L15" s="322">
        <v>1449388</v>
      </c>
      <c r="M15" s="323">
        <f t="shared" si="0"/>
        <v>0.27151873756371653</v>
      </c>
      <c r="N15" s="324">
        <f t="shared" si="1"/>
        <v>0</v>
      </c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</row>
    <row r="16" spans="1:25" s="326" customFormat="1" ht="13.5" customHeight="1">
      <c r="A16" s="315" t="s">
        <v>69</v>
      </c>
      <c r="B16" s="317" t="s">
        <v>80</v>
      </c>
      <c r="C16" s="317" t="s">
        <v>43</v>
      </c>
      <c r="D16" s="318">
        <v>1</v>
      </c>
      <c r="E16" s="317" t="s">
        <v>17</v>
      </c>
      <c r="F16" s="319">
        <v>0.7</v>
      </c>
      <c r="G16" s="319">
        <v>1</v>
      </c>
      <c r="H16" s="317" t="s">
        <v>65</v>
      </c>
      <c r="I16" s="321">
        <v>170161</v>
      </c>
      <c r="J16" s="321">
        <v>6087798</v>
      </c>
      <c r="K16" s="322">
        <v>741206</v>
      </c>
      <c r="L16" s="322">
        <v>1873990</v>
      </c>
      <c r="M16" s="323">
        <f t="shared" si="0"/>
        <v>0.39552292168047853</v>
      </c>
      <c r="N16" s="324">
        <f t="shared" si="1"/>
        <v>0</v>
      </c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</row>
    <row r="17" spans="1:25" s="326" customFormat="1" ht="13.5" customHeight="1">
      <c r="A17" s="315" t="s">
        <v>69</v>
      </c>
      <c r="B17" s="317" t="s">
        <v>81</v>
      </c>
      <c r="C17" s="317" t="s">
        <v>33</v>
      </c>
      <c r="D17" s="318">
        <v>2</v>
      </c>
      <c r="E17" s="317" t="s">
        <v>17</v>
      </c>
      <c r="F17" s="319">
        <v>0.7</v>
      </c>
      <c r="G17" s="319">
        <v>1</v>
      </c>
      <c r="H17" s="317" t="s">
        <v>65</v>
      </c>
      <c r="I17" s="320">
        <v>1.4999999999999999E-2</v>
      </c>
      <c r="J17" s="320">
        <v>0.13300000000000001</v>
      </c>
      <c r="K17" s="331">
        <v>0.03</v>
      </c>
      <c r="L17" s="331">
        <v>7.0999999999999994E-2</v>
      </c>
      <c r="M17" s="323">
        <f t="shared" si="0"/>
        <v>0.42253521126760568</v>
      </c>
      <c r="N17" s="324">
        <f t="shared" si="1"/>
        <v>0</v>
      </c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</row>
    <row r="18" spans="1:25" s="326" customFormat="1" ht="13.5" customHeight="1">
      <c r="A18" s="315" t="s">
        <v>69</v>
      </c>
      <c r="B18" s="317" t="s">
        <v>82</v>
      </c>
      <c r="C18" s="317" t="s">
        <v>33</v>
      </c>
      <c r="D18" s="318">
        <v>7</v>
      </c>
      <c r="E18" s="317" t="s">
        <v>48</v>
      </c>
      <c r="F18" s="319">
        <v>0.84</v>
      </c>
      <c r="G18" s="319">
        <v>1</v>
      </c>
      <c r="H18" s="317" t="s">
        <v>65</v>
      </c>
      <c r="I18" s="320">
        <v>0.84</v>
      </c>
      <c r="J18" s="320">
        <v>0.92</v>
      </c>
      <c r="K18" s="331">
        <v>0.88</v>
      </c>
      <c r="L18" s="331">
        <v>0.9</v>
      </c>
      <c r="M18" s="323">
        <f t="shared" si="0"/>
        <v>0.97777777777777775</v>
      </c>
      <c r="N18" s="324">
        <f t="shared" si="1"/>
        <v>6.0277777777777768</v>
      </c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</row>
    <row r="19" spans="1:25" ht="13.5" customHeight="1">
      <c r="A19" s="42" t="s">
        <v>83</v>
      </c>
      <c r="B19" s="54" t="s">
        <v>84</v>
      </c>
      <c r="C19" s="54" t="s">
        <v>43</v>
      </c>
      <c r="D19" s="50">
        <v>1</v>
      </c>
      <c r="E19" s="54" t="s">
        <v>17</v>
      </c>
      <c r="F19" s="13">
        <v>0.7</v>
      </c>
      <c r="G19" s="13">
        <v>1</v>
      </c>
      <c r="H19" s="54" t="s">
        <v>65</v>
      </c>
      <c r="I19" s="56">
        <v>4054</v>
      </c>
      <c r="J19" s="57">
        <v>813</v>
      </c>
      <c r="K19" s="58">
        <v>81</v>
      </c>
      <c r="L19" s="59">
        <v>134</v>
      </c>
      <c r="M19" s="45">
        <f t="shared" si="0"/>
        <v>0.60447761194029848</v>
      </c>
      <c r="N19" s="46">
        <f t="shared" si="1"/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>
      <c r="A20" s="42" t="s">
        <v>83</v>
      </c>
      <c r="B20" s="54" t="s">
        <v>85</v>
      </c>
      <c r="C20" s="54" t="s">
        <v>43</v>
      </c>
      <c r="D20" s="50">
        <v>1</v>
      </c>
      <c r="E20" s="54" t="s">
        <v>17</v>
      </c>
      <c r="F20" s="13">
        <v>0.7</v>
      </c>
      <c r="G20" s="13">
        <v>1</v>
      </c>
      <c r="H20" s="54" t="s">
        <v>65</v>
      </c>
      <c r="I20" s="56">
        <v>6528</v>
      </c>
      <c r="J20" s="51">
        <v>3000</v>
      </c>
      <c r="K20" s="60"/>
      <c r="L20" s="61"/>
      <c r="M20" s="45">
        <f t="shared" si="0"/>
        <v>0</v>
      </c>
      <c r="N20" s="46">
        <f t="shared" si="1"/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s="326" customFormat="1" ht="13.5" customHeight="1">
      <c r="A21" s="315" t="s">
        <v>83</v>
      </c>
      <c r="B21" s="317" t="s">
        <v>86</v>
      </c>
      <c r="C21" s="317" t="s">
        <v>43</v>
      </c>
      <c r="D21" s="318">
        <v>1</v>
      </c>
      <c r="E21" s="317" t="s">
        <v>17</v>
      </c>
      <c r="F21" s="319">
        <v>0.7</v>
      </c>
      <c r="G21" s="319">
        <v>1</v>
      </c>
      <c r="H21" s="317" t="s">
        <v>65</v>
      </c>
      <c r="I21" s="320"/>
      <c r="J21" s="327">
        <v>30</v>
      </c>
      <c r="K21" s="328">
        <v>0</v>
      </c>
      <c r="L21" s="329">
        <v>15</v>
      </c>
      <c r="M21" s="323">
        <f t="shared" si="0"/>
        <v>0</v>
      </c>
      <c r="N21" s="324">
        <f t="shared" si="1"/>
        <v>0</v>
      </c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</row>
    <row r="22" spans="1:25" s="326" customFormat="1" ht="13.5" customHeight="1">
      <c r="A22" s="315" t="s">
        <v>83</v>
      </c>
      <c r="B22" s="316" t="s">
        <v>87</v>
      </c>
      <c r="C22" s="317" t="s">
        <v>43</v>
      </c>
      <c r="D22" s="318">
        <v>1</v>
      </c>
      <c r="E22" s="317" t="s">
        <v>17</v>
      </c>
      <c r="F22" s="319">
        <v>0.7</v>
      </c>
      <c r="G22" s="319">
        <v>1</v>
      </c>
      <c r="H22" s="317" t="s">
        <v>65</v>
      </c>
      <c r="I22" s="320"/>
      <c r="J22" s="321">
        <v>9863</v>
      </c>
      <c r="K22" s="322">
        <v>4399</v>
      </c>
      <c r="L22" s="322">
        <v>3570</v>
      </c>
      <c r="M22" s="323">
        <f t="shared" si="0"/>
        <v>1.2322128851540617</v>
      </c>
      <c r="N22" s="324">
        <f t="shared" si="1"/>
        <v>1</v>
      </c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</row>
    <row r="23" spans="1:25" ht="13.5" customHeight="1">
      <c r="A23" s="42" t="s">
        <v>83</v>
      </c>
      <c r="B23" s="54" t="s">
        <v>88</v>
      </c>
      <c r="C23" s="54" t="s">
        <v>43</v>
      </c>
      <c r="D23" s="50">
        <v>1</v>
      </c>
      <c r="E23" s="54" t="s">
        <v>17</v>
      </c>
      <c r="F23" s="13">
        <v>0.7</v>
      </c>
      <c r="G23" s="13">
        <v>1</v>
      </c>
      <c r="H23" s="12" t="s">
        <v>65</v>
      </c>
      <c r="I23" s="56">
        <v>5695</v>
      </c>
      <c r="J23" s="51">
        <v>16001</v>
      </c>
      <c r="K23" s="16">
        <v>5171</v>
      </c>
      <c r="L23" s="16">
        <v>5616</v>
      </c>
      <c r="M23" s="45">
        <f t="shared" si="0"/>
        <v>0.92076210826210825</v>
      </c>
      <c r="N23" s="46">
        <f t="shared" si="1"/>
        <v>0.73587369420702753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>
      <c r="A24" s="42" t="s">
        <v>83</v>
      </c>
      <c r="B24" s="54" t="s">
        <v>89</v>
      </c>
      <c r="C24" s="54" t="s">
        <v>33</v>
      </c>
      <c r="D24" s="50">
        <v>2</v>
      </c>
      <c r="E24" s="54" t="s">
        <v>17</v>
      </c>
      <c r="F24" s="13">
        <v>0.7</v>
      </c>
      <c r="G24" s="13">
        <v>1</v>
      </c>
      <c r="H24" s="12" t="s">
        <v>65</v>
      </c>
      <c r="I24" s="55">
        <v>7.6999999999999999E-2</v>
      </c>
      <c r="J24" s="52">
        <v>0.20100000000000001</v>
      </c>
      <c r="K24" s="53">
        <v>0.11</v>
      </c>
      <c r="L24" s="53">
        <v>0.14599999999999999</v>
      </c>
      <c r="M24" s="45">
        <f t="shared" si="0"/>
        <v>0.75342465753424659</v>
      </c>
      <c r="N24" s="46">
        <f t="shared" si="1"/>
        <v>0.3561643835616442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>
      <c r="A25" s="42" t="s">
        <v>83</v>
      </c>
      <c r="B25" s="54" t="s">
        <v>90</v>
      </c>
      <c r="C25" s="54" t="s">
        <v>43</v>
      </c>
      <c r="D25" s="50">
        <v>1</v>
      </c>
      <c r="E25" s="54" t="s">
        <v>17</v>
      </c>
      <c r="F25" s="13">
        <v>0.7</v>
      </c>
      <c r="G25" s="13">
        <v>1</v>
      </c>
      <c r="H25" s="12" t="s">
        <v>65</v>
      </c>
      <c r="I25" s="43"/>
      <c r="J25" s="44">
        <v>14251</v>
      </c>
      <c r="K25" s="16">
        <v>22372</v>
      </c>
      <c r="L25" s="16">
        <v>4368</v>
      </c>
      <c r="M25" s="45">
        <f t="shared" si="0"/>
        <v>5.1217948717948714</v>
      </c>
      <c r="N25" s="46">
        <f t="shared" si="1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>
      <c r="A26" s="42" t="s">
        <v>83</v>
      </c>
      <c r="B26" s="54" t="s">
        <v>91</v>
      </c>
      <c r="C26" s="54" t="s">
        <v>43</v>
      </c>
      <c r="D26" s="50">
        <v>1</v>
      </c>
      <c r="E26" s="54" t="s">
        <v>17</v>
      </c>
      <c r="F26" s="13">
        <v>0.7</v>
      </c>
      <c r="G26" s="13">
        <v>1</v>
      </c>
      <c r="H26" s="12" t="s">
        <v>65</v>
      </c>
      <c r="I26" s="43">
        <v>9614</v>
      </c>
      <c r="J26" s="44">
        <v>24871</v>
      </c>
      <c r="K26" s="16">
        <v>23839</v>
      </c>
      <c r="L26" s="16">
        <v>7908</v>
      </c>
      <c r="M26" s="45">
        <f t="shared" si="0"/>
        <v>3.0145422357106728</v>
      </c>
      <c r="N26" s="46">
        <f t="shared" si="1"/>
        <v>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>
      <c r="A27" s="42" t="s">
        <v>83</v>
      </c>
      <c r="B27" s="54" t="s">
        <v>92</v>
      </c>
      <c r="C27" s="54" t="s">
        <v>33</v>
      </c>
      <c r="D27" s="50">
        <v>2</v>
      </c>
      <c r="E27" s="54" t="s">
        <v>17</v>
      </c>
      <c r="F27" s="13">
        <v>0.7</v>
      </c>
      <c r="G27" s="13">
        <v>1</v>
      </c>
      <c r="H27" s="12" t="s">
        <v>65</v>
      </c>
      <c r="I27" s="63">
        <v>7.4999999999999997E-2</v>
      </c>
      <c r="J27" s="64">
        <v>0.193</v>
      </c>
      <c r="K27" s="53">
        <v>0.19</v>
      </c>
      <c r="L27" s="53">
        <v>0.13300000000000001</v>
      </c>
      <c r="M27" s="45">
        <f t="shared" si="0"/>
        <v>1.4285714285714286</v>
      </c>
      <c r="N27" s="46">
        <f t="shared" si="1"/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>
      <c r="A28" s="42" t="s">
        <v>83</v>
      </c>
      <c r="B28" s="54" t="s">
        <v>93</v>
      </c>
      <c r="C28" s="54" t="s">
        <v>43</v>
      </c>
      <c r="D28" s="50">
        <v>5</v>
      </c>
      <c r="E28" s="12" t="s">
        <v>17</v>
      </c>
      <c r="F28" s="13">
        <v>0.7</v>
      </c>
      <c r="G28" s="13">
        <v>1</v>
      </c>
      <c r="H28" s="12" t="s">
        <v>65</v>
      </c>
      <c r="I28" s="65">
        <v>17</v>
      </c>
      <c r="J28" s="57">
        <v>25</v>
      </c>
      <c r="K28" s="58">
        <v>40</v>
      </c>
      <c r="L28" s="16">
        <v>10</v>
      </c>
      <c r="M28" s="45">
        <f t="shared" si="0"/>
        <v>4</v>
      </c>
      <c r="N28" s="46">
        <f t="shared" si="1"/>
        <v>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>
      <c r="A29" s="47" t="s">
        <v>94</v>
      </c>
      <c r="B29" s="54" t="s">
        <v>95</v>
      </c>
      <c r="C29" s="54" t="s">
        <v>33</v>
      </c>
      <c r="D29" s="50">
        <v>5</v>
      </c>
      <c r="E29" s="54" t="s">
        <v>96</v>
      </c>
      <c r="F29" s="13">
        <v>0.05</v>
      </c>
      <c r="G29" s="49" t="s">
        <v>97</v>
      </c>
      <c r="H29" s="12"/>
      <c r="I29" s="63">
        <v>4.2999999999999997E-2</v>
      </c>
      <c r="J29" s="66" t="s">
        <v>97</v>
      </c>
      <c r="K29" s="67" t="s">
        <v>98</v>
      </c>
      <c r="L29" s="53">
        <v>4.8099999999999997E-2</v>
      </c>
      <c r="M29" s="45">
        <f>IFERROR(IF(K29&gt;F29,0,L29/K29),0)</f>
        <v>0</v>
      </c>
      <c r="N29" s="46">
        <f t="shared" si="1"/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>
      <c r="A30" s="47" t="s">
        <v>99</v>
      </c>
      <c r="B30" s="54" t="s">
        <v>100</v>
      </c>
      <c r="C30" s="54" t="s">
        <v>43</v>
      </c>
      <c r="D30" s="50">
        <v>5</v>
      </c>
      <c r="E30" s="12" t="s">
        <v>17</v>
      </c>
      <c r="F30" s="13">
        <v>0.7</v>
      </c>
      <c r="G30" s="13">
        <v>1</v>
      </c>
      <c r="H30" s="68" t="s">
        <v>65</v>
      </c>
      <c r="I30" s="65">
        <v>24</v>
      </c>
      <c r="J30" s="57">
        <v>12</v>
      </c>
      <c r="K30" s="69">
        <v>0</v>
      </c>
      <c r="L30" s="59">
        <v>4</v>
      </c>
      <c r="M30" s="45">
        <f>IFERROR(K30/L30,0)</f>
        <v>0</v>
      </c>
      <c r="N30" s="46">
        <f t="shared" si="1"/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>
      <c r="A31" s="47" t="s">
        <v>37</v>
      </c>
      <c r="B31" s="54" t="s">
        <v>38</v>
      </c>
      <c r="C31" s="54" t="s">
        <v>16</v>
      </c>
      <c r="D31" s="50">
        <v>10</v>
      </c>
      <c r="E31" s="12" t="s">
        <v>39</v>
      </c>
      <c r="F31" s="13"/>
      <c r="G31" s="13">
        <v>0.95</v>
      </c>
      <c r="H31" s="12" t="s">
        <v>101</v>
      </c>
      <c r="I31" s="43">
        <v>3289.3</v>
      </c>
      <c r="J31" s="44">
        <v>8055.4</v>
      </c>
      <c r="K31" s="23"/>
      <c r="L31" s="61"/>
      <c r="M31" s="45">
        <f>IFERROR(K27/L27,0)</f>
        <v>1.4285714285714286</v>
      </c>
      <c r="N31" s="46" t="str">
        <f>IF(K31=0,"-",IF(M31&lt;=F31,MIN(MAX((F31-M31)*(D31/(F31-G31)),0),D31),0))</f>
        <v>-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>
      <c r="A32" s="42" t="s">
        <v>46</v>
      </c>
      <c r="B32" s="54" t="s">
        <v>102</v>
      </c>
      <c r="C32" s="54" t="s">
        <v>33</v>
      </c>
      <c r="D32" s="50">
        <v>2</v>
      </c>
      <c r="E32" s="54" t="s">
        <v>48</v>
      </c>
      <c r="F32" s="70">
        <v>0.72</v>
      </c>
      <c r="G32" s="13">
        <v>1</v>
      </c>
      <c r="H32" s="12" t="s">
        <v>65</v>
      </c>
      <c r="I32" s="55">
        <v>0.72</v>
      </c>
      <c r="J32" s="52">
        <v>0.8</v>
      </c>
      <c r="K32" s="53">
        <v>0.67</v>
      </c>
      <c r="L32" s="45">
        <v>0.8</v>
      </c>
      <c r="M32" s="45">
        <f t="shared" ref="M32:M37" si="2">IFERROR(K32/L32,0)</f>
        <v>0.83750000000000002</v>
      </c>
      <c r="N32" s="46">
        <f t="shared" ref="N32:N39" si="3">IF(M32&gt;=F32,MIN((M32-F32)*(D32/(G32-F32)),D32),0)</f>
        <v>0.83928571428571452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>
      <c r="A33" s="42" t="s">
        <v>46</v>
      </c>
      <c r="B33" s="54" t="s">
        <v>103</v>
      </c>
      <c r="C33" s="54" t="s">
        <v>33</v>
      </c>
      <c r="D33" s="50">
        <v>2</v>
      </c>
      <c r="E33" s="54" t="s">
        <v>48</v>
      </c>
      <c r="F33" s="70">
        <v>0.78200000000000003</v>
      </c>
      <c r="G33" s="13">
        <v>1</v>
      </c>
      <c r="H33" s="12" t="s">
        <v>65</v>
      </c>
      <c r="I33" s="55">
        <v>0.78200000000000003</v>
      </c>
      <c r="J33" s="52">
        <v>0.8</v>
      </c>
      <c r="K33" s="53">
        <v>0.69</v>
      </c>
      <c r="L33" s="45">
        <v>0.8</v>
      </c>
      <c r="M33" s="45">
        <f t="shared" si="2"/>
        <v>0.86249999999999993</v>
      </c>
      <c r="N33" s="46">
        <f t="shared" si="3"/>
        <v>0.73853211009174236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>
      <c r="A34" s="42" t="s">
        <v>46</v>
      </c>
      <c r="B34" s="54" t="s">
        <v>104</v>
      </c>
      <c r="C34" s="54" t="s">
        <v>33</v>
      </c>
      <c r="D34" s="50">
        <v>2</v>
      </c>
      <c r="E34" s="54" t="s">
        <v>48</v>
      </c>
      <c r="F34" s="70">
        <v>0.67800000000000005</v>
      </c>
      <c r="G34" s="13">
        <v>1</v>
      </c>
      <c r="H34" s="12" t="s">
        <v>65</v>
      </c>
      <c r="I34" s="63">
        <v>0.67800000000000005</v>
      </c>
      <c r="J34" s="64">
        <v>0.8</v>
      </c>
      <c r="K34" s="53">
        <v>0.74</v>
      </c>
      <c r="L34" s="45">
        <v>0.8</v>
      </c>
      <c r="M34" s="45">
        <f t="shared" si="2"/>
        <v>0.92499999999999993</v>
      </c>
      <c r="N34" s="46">
        <f t="shared" si="3"/>
        <v>1.5341614906832293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>
      <c r="A35" s="42" t="s">
        <v>46</v>
      </c>
      <c r="B35" s="54" t="s">
        <v>105</v>
      </c>
      <c r="C35" s="54" t="s">
        <v>33</v>
      </c>
      <c r="D35" s="50">
        <v>2</v>
      </c>
      <c r="E35" s="54" t="s">
        <v>48</v>
      </c>
      <c r="F35" s="70">
        <v>0.625</v>
      </c>
      <c r="G35" s="13">
        <v>1</v>
      </c>
      <c r="H35" s="12" t="s">
        <v>65</v>
      </c>
      <c r="I35" s="63">
        <v>0.625</v>
      </c>
      <c r="J35" s="64">
        <v>0.8</v>
      </c>
      <c r="K35" s="53">
        <v>0.68</v>
      </c>
      <c r="L35" s="45">
        <v>0.8</v>
      </c>
      <c r="M35" s="45">
        <f t="shared" si="2"/>
        <v>0.85</v>
      </c>
      <c r="N35" s="46">
        <f t="shared" si="3"/>
        <v>1.1999999999999997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>
      <c r="A36" s="42" t="s">
        <v>46</v>
      </c>
      <c r="B36" s="54" t="s">
        <v>106</v>
      </c>
      <c r="C36" s="54" t="s">
        <v>33</v>
      </c>
      <c r="D36" s="50">
        <v>2</v>
      </c>
      <c r="E36" s="54" t="s">
        <v>48</v>
      </c>
      <c r="F36" s="70">
        <v>0.72899999999999998</v>
      </c>
      <c r="G36" s="13">
        <v>1</v>
      </c>
      <c r="H36" s="12" t="s">
        <v>65</v>
      </c>
      <c r="I36" s="70">
        <v>0.72899999999999998</v>
      </c>
      <c r="J36" s="13">
        <v>0.8</v>
      </c>
      <c r="K36" s="53">
        <v>0.76</v>
      </c>
      <c r="L36" s="45">
        <v>0.8</v>
      </c>
      <c r="M36" s="45">
        <f t="shared" si="2"/>
        <v>0.95</v>
      </c>
      <c r="N36" s="46">
        <f t="shared" si="3"/>
        <v>1.6309963099630993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>
      <c r="A37" s="47" t="s">
        <v>107</v>
      </c>
      <c r="B37" s="71" t="s">
        <v>108</v>
      </c>
      <c r="C37" s="71" t="s">
        <v>43</v>
      </c>
      <c r="D37" s="50">
        <v>2</v>
      </c>
      <c r="E37" s="12" t="s">
        <v>17</v>
      </c>
      <c r="F37" s="13">
        <v>0.7</v>
      </c>
      <c r="G37" s="13">
        <v>1</v>
      </c>
      <c r="H37" s="12" t="s">
        <v>65</v>
      </c>
      <c r="I37" s="43">
        <v>15</v>
      </c>
      <c r="J37" s="44">
        <v>14</v>
      </c>
      <c r="K37" s="58">
        <v>6</v>
      </c>
      <c r="L37" s="62">
        <v>7</v>
      </c>
      <c r="M37" s="45">
        <f t="shared" si="2"/>
        <v>0.8571428571428571</v>
      </c>
      <c r="N37" s="46">
        <f t="shared" si="3"/>
        <v>1.0476190476190474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>
      <c r="A38" s="72" t="s">
        <v>50</v>
      </c>
      <c r="B38" s="54" t="s">
        <v>109</v>
      </c>
      <c r="C38" s="54" t="s">
        <v>33</v>
      </c>
      <c r="D38" s="50">
        <v>1</v>
      </c>
      <c r="E38" s="54" t="s">
        <v>48</v>
      </c>
      <c r="F38" s="70">
        <v>0.85</v>
      </c>
      <c r="G38" s="13">
        <v>1</v>
      </c>
      <c r="H38" s="12" t="s">
        <v>65</v>
      </c>
      <c r="I38" s="70">
        <v>0.85</v>
      </c>
      <c r="J38" s="73" t="s">
        <v>110</v>
      </c>
      <c r="K38" s="74"/>
      <c r="L38" s="74"/>
      <c r="M38" s="45">
        <f>IFERROR(#REF!/K38,0)</f>
        <v>0</v>
      </c>
      <c r="N38" s="46">
        <f t="shared" si="3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>
      <c r="A39" s="72" t="s">
        <v>50</v>
      </c>
      <c r="B39" s="54" t="s">
        <v>111</v>
      </c>
      <c r="C39" s="54" t="s">
        <v>33</v>
      </c>
      <c r="D39" s="50">
        <v>1</v>
      </c>
      <c r="E39" s="54" t="s">
        <v>48</v>
      </c>
      <c r="F39" s="70">
        <v>0.86699999999999999</v>
      </c>
      <c r="G39" s="13">
        <v>1</v>
      </c>
      <c r="H39" s="12" t="s">
        <v>65</v>
      </c>
      <c r="I39" s="70">
        <v>0.86699999999999999</v>
      </c>
      <c r="J39" s="73" t="s">
        <v>110</v>
      </c>
      <c r="K39" s="74"/>
      <c r="L39" s="74"/>
      <c r="M39" s="45">
        <f>IFERROR(#REF!/K39,0)</f>
        <v>0</v>
      </c>
      <c r="N39" s="46">
        <f t="shared" si="3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>
      <c r="A40" s="28"/>
      <c r="B40" s="1"/>
      <c r="C40" s="30"/>
      <c r="D40" s="30"/>
      <c r="E40" s="30"/>
      <c r="F40" s="31"/>
      <c r="G40" s="30"/>
      <c r="H40" s="5"/>
      <c r="I40" s="1"/>
      <c r="J40" s="1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>
      <c r="A41" s="28"/>
      <c r="B41" s="1"/>
      <c r="C41" s="30"/>
      <c r="D41" s="30"/>
      <c r="E41" s="30"/>
      <c r="F41" s="31"/>
      <c r="G41" s="30"/>
      <c r="H41" s="5"/>
      <c r="I41" s="1"/>
      <c r="J41" s="1"/>
      <c r="K41" s="4"/>
      <c r="L41" s="4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>
      <c r="A42" s="28"/>
      <c r="B42" s="1"/>
      <c r="C42" s="30"/>
      <c r="D42" s="30"/>
      <c r="E42" s="30"/>
      <c r="F42" s="31"/>
      <c r="G42" s="30"/>
      <c r="H42" s="5"/>
      <c r="I42" s="1"/>
      <c r="J42" s="1"/>
      <c r="K42" s="4"/>
      <c r="L42" s="4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>
      <c r="A43" s="28"/>
      <c r="B43" s="1"/>
      <c r="C43" s="30"/>
      <c r="D43" s="30"/>
      <c r="E43" s="30"/>
      <c r="F43" s="31"/>
      <c r="G43" s="30"/>
      <c r="H43" s="5"/>
      <c r="I43" s="1"/>
      <c r="J43" s="1"/>
      <c r="K43" s="4"/>
      <c r="L43" s="4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28"/>
      <c r="B44" s="1"/>
      <c r="C44" s="30"/>
      <c r="D44" s="30"/>
      <c r="E44" s="30"/>
      <c r="F44" s="31"/>
      <c r="G44" s="30"/>
      <c r="H44" s="5"/>
      <c r="I44" s="1"/>
      <c r="J44" s="1"/>
      <c r="K44" s="4"/>
      <c r="L44" s="4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28"/>
      <c r="B45" s="1"/>
      <c r="C45" s="30"/>
      <c r="D45" s="30"/>
      <c r="E45" s="30"/>
      <c r="F45" s="31"/>
      <c r="G45" s="30"/>
      <c r="H45" s="5"/>
      <c r="I45" s="1"/>
      <c r="J45" s="1"/>
      <c r="K45" s="4"/>
      <c r="L45" s="4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28"/>
      <c r="B46" s="1"/>
      <c r="C46" s="30"/>
      <c r="D46" s="30"/>
      <c r="E46" s="30"/>
      <c r="F46" s="31"/>
      <c r="G46" s="30"/>
      <c r="H46" s="5"/>
      <c r="I46" s="1"/>
      <c r="J46" s="1"/>
      <c r="K46" s="4"/>
      <c r="L46" s="4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28"/>
      <c r="B47" s="1"/>
      <c r="C47" s="30"/>
      <c r="D47" s="30"/>
      <c r="E47" s="30"/>
      <c r="F47" s="31"/>
      <c r="G47" s="30"/>
      <c r="H47" s="5"/>
      <c r="I47" s="1"/>
      <c r="J47" s="1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28"/>
      <c r="B48" s="1"/>
      <c r="C48" s="30"/>
      <c r="D48" s="30"/>
      <c r="E48" s="30"/>
      <c r="F48" s="31"/>
      <c r="G48" s="30"/>
      <c r="H48" s="5"/>
      <c r="I48" s="1"/>
      <c r="J48" s="1"/>
      <c r="K48" s="4"/>
      <c r="L48" s="4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28"/>
      <c r="B49" s="1"/>
      <c r="C49" s="30"/>
      <c r="D49" s="30"/>
      <c r="E49" s="30"/>
      <c r="F49" s="31"/>
      <c r="G49" s="30"/>
      <c r="H49" s="5"/>
      <c r="I49" s="1"/>
      <c r="J49" s="1"/>
      <c r="K49" s="4"/>
      <c r="L49" s="4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28"/>
      <c r="B50" s="1"/>
      <c r="C50" s="30"/>
      <c r="D50" s="30"/>
      <c r="E50" s="30"/>
      <c r="F50" s="31"/>
      <c r="G50" s="30"/>
      <c r="H50" s="5"/>
      <c r="I50" s="1"/>
      <c r="J50" s="1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28"/>
      <c r="B51" s="1"/>
      <c r="C51" s="30"/>
      <c r="D51" s="30"/>
      <c r="E51" s="30"/>
      <c r="F51" s="31"/>
      <c r="G51" s="30"/>
      <c r="H51" s="5"/>
      <c r="I51" s="1"/>
      <c r="J51" s="1"/>
      <c r="K51" s="4"/>
      <c r="L51" s="4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28"/>
      <c r="B52" s="1"/>
      <c r="C52" s="30"/>
      <c r="D52" s="30"/>
      <c r="E52" s="30"/>
      <c r="F52" s="31"/>
      <c r="G52" s="30"/>
      <c r="H52" s="5"/>
      <c r="I52" s="1"/>
      <c r="J52" s="1"/>
      <c r="K52" s="4"/>
      <c r="L52" s="4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28"/>
      <c r="B53" s="1"/>
      <c r="C53" s="30"/>
      <c r="D53" s="30"/>
      <c r="E53" s="30"/>
      <c r="F53" s="31"/>
      <c r="G53" s="30"/>
      <c r="H53" s="5"/>
      <c r="I53" s="1"/>
      <c r="J53" s="1"/>
      <c r="K53" s="4"/>
      <c r="L53" s="4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28"/>
      <c r="B54" s="1"/>
      <c r="C54" s="30"/>
      <c r="D54" s="30"/>
      <c r="E54" s="30"/>
      <c r="F54" s="31"/>
      <c r="G54" s="30"/>
      <c r="H54" s="5"/>
      <c r="I54" s="1"/>
      <c r="J54" s="1"/>
      <c r="K54" s="4"/>
      <c r="L54" s="4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28"/>
      <c r="B55" s="1"/>
      <c r="C55" s="30"/>
      <c r="D55" s="30"/>
      <c r="E55" s="30"/>
      <c r="F55" s="31"/>
      <c r="G55" s="30"/>
      <c r="H55" s="5"/>
      <c r="I55" s="1"/>
      <c r="J55" s="1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28"/>
      <c r="B56" s="1"/>
      <c r="C56" s="30"/>
      <c r="D56" s="30"/>
      <c r="E56" s="30"/>
      <c r="F56" s="31"/>
      <c r="G56" s="30"/>
      <c r="H56" s="5"/>
      <c r="I56" s="1"/>
      <c r="J56" s="1"/>
      <c r="K56" s="4"/>
      <c r="L56" s="4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28"/>
      <c r="B57" s="1"/>
      <c r="C57" s="30"/>
      <c r="D57" s="30"/>
      <c r="E57" s="30"/>
      <c r="F57" s="31"/>
      <c r="G57" s="30"/>
      <c r="H57" s="5"/>
      <c r="I57" s="1"/>
      <c r="J57" s="1"/>
      <c r="K57" s="4"/>
      <c r="L57" s="4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28"/>
      <c r="B58" s="1"/>
      <c r="C58" s="30"/>
      <c r="D58" s="30"/>
      <c r="E58" s="30"/>
      <c r="F58" s="31"/>
      <c r="G58" s="30"/>
      <c r="H58" s="5"/>
      <c r="I58" s="1"/>
      <c r="J58" s="1"/>
      <c r="K58" s="4"/>
      <c r="L58" s="4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28"/>
      <c r="B59" s="1"/>
      <c r="C59" s="30"/>
      <c r="D59" s="30"/>
      <c r="E59" s="30"/>
      <c r="F59" s="31"/>
      <c r="G59" s="30"/>
      <c r="H59" s="5"/>
      <c r="I59" s="1"/>
      <c r="J59" s="1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28"/>
      <c r="B60" s="1"/>
      <c r="C60" s="30"/>
      <c r="D60" s="30"/>
      <c r="E60" s="30"/>
      <c r="F60" s="31"/>
      <c r="G60" s="30"/>
      <c r="H60" s="5"/>
      <c r="I60" s="1"/>
      <c r="J60" s="1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28"/>
      <c r="B61" s="1"/>
      <c r="C61" s="30"/>
      <c r="D61" s="30"/>
      <c r="E61" s="30"/>
      <c r="F61" s="31"/>
      <c r="G61" s="30"/>
      <c r="H61" s="5"/>
      <c r="I61" s="1"/>
      <c r="J61" s="1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28"/>
      <c r="B62" s="1"/>
      <c r="C62" s="30"/>
      <c r="D62" s="30"/>
      <c r="E62" s="30"/>
      <c r="F62" s="31"/>
      <c r="G62" s="30"/>
      <c r="H62" s="5"/>
      <c r="I62" s="1"/>
      <c r="J62" s="1"/>
      <c r="K62" s="4"/>
      <c r="L62" s="4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28"/>
      <c r="B63" s="1"/>
      <c r="C63" s="30"/>
      <c r="D63" s="30"/>
      <c r="E63" s="30"/>
      <c r="F63" s="31"/>
      <c r="G63" s="30"/>
      <c r="H63" s="5"/>
      <c r="I63" s="1"/>
      <c r="J63" s="1"/>
      <c r="K63" s="4"/>
      <c r="L63" s="4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28"/>
      <c r="B64" s="1"/>
      <c r="C64" s="30"/>
      <c r="D64" s="30"/>
      <c r="E64" s="30"/>
      <c r="F64" s="31"/>
      <c r="G64" s="30"/>
      <c r="H64" s="5"/>
      <c r="I64" s="1"/>
      <c r="J64" s="1"/>
      <c r="K64" s="4"/>
      <c r="L64" s="4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28"/>
      <c r="B65" s="1"/>
      <c r="C65" s="30"/>
      <c r="D65" s="30"/>
      <c r="E65" s="30"/>
      <c r="F65" s="31"/>
      <c r="G65" s="30"/>
      <c r="H65" s="5"/>
      <c r="I65" s="1"/>
      <c r="J65" s="1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28"/>
      <c r="B66" s="1"/>
      <c r="C66" s="30"/>
      <c r="D66" s="30"/>
      <c r="E66" s="30"/>
      <c r="F66" s="31"/>
      <c r="G66" s="30"/>
      <c r="H66" s="5"/>
      <c r="I66" s="1"/>
      <c r="J66" s="1"/>
      <c r="K66" s="4"/>
      <c r="L66" s="4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28"/>
      <c r="B67" s="1"/>
      <c r="C67" s="30"/>
      <c r="D67" s="30"/>
      <c r="E67" s="30"/>
      <c r="F67" s="31"/>
      <c r="G67" s="30"/>
      <c r="H67" s="5"/>
      <c r="I67" s="1"/>
      <c r="J67" s="1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28"/>
      <c r="B68" s="1"/>
      <c r="C68" s="30"/>
      <c r="D68" s="30"/>
      <c r="E68" s="30"/>
      <c r="F68" s="31"/>
      <c r="G68" s="30"/>
      <c r="H68" s="5"/>
      <c r="I68" s="1"/>
      <c r="J68" s="1"/>
      <c r="K68" s="4"/>
      <c r="L68" s="4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28"/>
      <c r="B69" s="1"/>
      <c r="C69" s="30"/>
      <c r="D69" s="30"/>
      <c r="E69" s="30"/>
      <c r="F69" s="31"/>
      <c r="G69" s="30"/>
      <c r="H69" s="5"/>
      <c r="I69" s="1"/>
      <c r="J69" s="1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28"/>
      <c r="B70" s="1"/>
      <c r="C70" s="30"/>
      <c r="D70" s="30"/>
      <c r="E70" s="30"/>
      <c r="F70" s="31"/>
      <c r="G70" s="30"/>
      <c r="H70" s="5"/>
      <c r="I70" s="1"/>
      <c r="J70" s="1"/>
      <c r="K70" s="4"/>
      <c r="L70" s="4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28"/>
      <c r="B71" s="1"/>
      <c r="C71" s="30"/>
      <c r="D71" s="30"/>
      <c r="E71" s="30"/>
      <c r="F71" s="31"/>
      <c r="G71" s="30"/>
      <c r="H71" s="5"/>
      <c r="I71" s="1"/>
      <c r="J71" s="1"/>
      <c r="K71" s="4"/>
      <c r="L71" s="4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28"/>
      <c r="B72" s="1"/>
      <c r="C72" s="30"/>
      <c r="D72" s="30"/>
      <c r="E72" s="30"/>
      <c r="F72" s="31"/>
      <c r="G72" s="30"/>
      <c r="H72" s="5"/>
      <c r="I72" s="1"/>
      <c r="J72" s="1"/>
      <c r="K72" s="4"/>
      <c r="L72" s="4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28"/>
      <c r="B73" s="1"/>
      <c r="C73" s="30"/>
      <c r="D73" s="30"/>
      <c r="E73" s="30"/>
      <c r="F73" s="31"/>
      <c r="G73" s="30"/>
      <c r="H73" s="5"/>
      <c r="I73" s="1"/>
      <c r="J73" s="1"/>
      <c r="K73" s="4"/>
      <c r="L73" s="4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28"/>
      <c r="B74" s="1"/>
      <c r="C74" s="30"/>
      <c r="D74" s="30"/>
      <c r="E74" s="30"/>
      <c r="F74" s="31"/>
      <c r="G74" s="30"/>
      <c r="H74" s="5"/>
      <c r="I74" s="1"/>
      <c r="J74" s="1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28"/>
      <c r="B75" s="1"/>
      <c r="C75" s="30"/>
      <c r="D75" s="30"/>
      <c r="E75" s="30"/>
      <c r="F75" s="31"/>
      <c r="G75" s="30"/>
      <c r="H75" s="5"/>
      <c r="I75" s="1"/>
      <c r="J75" s="1"/>
      <c r="K75" s="4"/>
      <c r="L75" s="4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28"/>
      <c r="B76" s="1"/>
      <c r="C76" s="30"/>
      <c r="D76" s="30"/>
      <c r="E76" s="30"/>
      <c r="F76" s="31"/>
      <c r="G76" s="30"/>
      <c r="H76" s="5"/>
      <c r="I76" s="1"/>
      <c r="J76" s="1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28"/>
      <c r="B77" s="1"/>
      <c r="C77" s="30"/>
      <c r="D77" s="30"/>
      <c r="E77" s="30"/>
      <c r="F77" s="31"/>
      <c r="G77" s="30"/>
      <c r="H77" s="5"/>
      <c r="I77" s="1"/>
      <c r="J77" s="1"/>
      <c r="K77" s="4"/>
      <c r="L77" s="4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28"/>
      <c r="B78" s="1"/>
      <c r="C78" s="30"/>
      <c r="D78" s="30"/>
      <c r="E78" s="30"/>
      <c r="F78" s="31"/>
      <c r="G78" s="30"/>
      <c r="H78" s="5"/>
      <c r="I78" s="1"/>
      <c r="J78" s="1"/>
      <c r="K78" s="4"/>
      <c r="L78" s="4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28"/>
      <c r="B79" s="1"/>
      <c r="C79" s="30"/>
      <c r="D79" s="30"/>
      <c r="E79" s="30"/>
      <c r="F79" s="31"/>
      <c r="G79" s="30"/>
      <c r="H79" s="5"/>
      <c r="I79" s="1"/>
      <c r="J79" s="1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28"/>
      <c r="B80" s="1"/>
      <c r="C80" s="30"/>
      <c r="D80" s="30"/>
      <c r="E80" s="30"/>
      <c r="F80" s="31"/>
      <c r="G80" s="30"/>
      <c r="H80" s="5"/>
      <c r="I80" s="1"/>
      <c r="J80" s="1"/>
      <c r="K80" s="4"/>
      <c r="L80" s="4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28"/>
      <c r="B81" s="1"/>
      <c r="C81" s="30"/>
      <c r="D81" s="30"/>
      <c r="E81" s="30"/>
      <c r="F81" s="31"/>
      <c r="G81" s="30"/>
      <c r="H81" s="5"/>
      <c r="I81" s="1"/>
      <c r="J81" s="1"/>
      <c r="K81" s="4"/>
      <c r="L81" s="4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28"/>
      <c r="B82" s="1"/>
      <c r="C82" s="30"/>
      <c r="D82" s="30"/>
      <c r="E82" s="30"/>
      <c r="F82" s="31"/>
      <c r="G82" s="30"/>
      <c r="H82" s="5"/>
      <c r="I82" s="1"/>
      <c r="J82" s="1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28"/>
      <c r="B83" s="1"/>
      <c r="C83" s="30"/>
      <c r="D83" s="30"/>
      <c r="E83" s="30"/>
      <c r="F83" s="31"/>
      <c r="G83" s="30"/>
      <c r="H83" s="5"/>
      <c r="I83" s="1"/>
      <c r="J83" s="1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28"/>
      <c r="B84" s="1"/>
      <c r="C84" s="30"/>
      <c r="D84" s="30"/>
      <c r="E84" s="30"/>
      <c r="F84" s="31"/>
      <c r="G84" s="30"/>
      <c r="H84" s="5"/>
      <c r="I84" s="1"/>
      <c r="J84" s="1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28"/>
      <c r="B85" s="1"/>
      <c r="C85" s="30"/>
      <c r="D85" s="30"/>
      <c r="E85" s="30"/>
      <c r="F85" s="31"/>
      <c r="G85" s="30"/>
      <c r="H85" s="5"/>
      <c r="I85" s="1"/>
      <c r="J85" s="1"/>
      <c r="K85" s="4"/>
      <c r="L85" s="4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28"/>
      <c r="B86" s="1"/>
      <c r="C86" s="30"/>
      <c r="D86" s="30"/>
      <c r="E86" s="30"/>
      <c r="F86" s="31"/>
      <c r="G86" s="30"/>
      <c r="H86" s="5"/>
      <c r="I86" s="1"/>
      <c r="J86" s="1"/>
      <c r="K86" s="4"/>
      <c r="L86" s="4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28"/>
      <c r="B87" s="1"/>
      <c r="C87" s="30"/>
      <c r="D87" s="30"/>
      <c r="E87" s="30"/>
      <c r="F87" s="31"/>
      <c r="G87" s="30"/>
      <c r="H87" s="5"/>
      <c r="I87" s="1"/>
      <c r="J87" s="1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28"/>
      <c r="B88" s="1"/>
      <c r="C88" s="30"/>
      <c r="D88" s="30"/>
      <c r="E88" s="30"/>
      <c r="F88" s="31"/>
      <c r="G88" s="30"/>
      <c r="H88" s="5"/>
      <c r="I88" s="1"/>
      <c r="J88" s="1"/>
      <c r="K88" s="4"/>
      <c r="L88" s="4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28"/>
      <c r="B89" s="1"/>
      <c r="C89" s="30"/>
      <c r="D89" s="30"/>
      <c r="E89" s="30"/>
      <c r="F89" s="31"/>
      <c r="G89" s="30"/>
      <c r="H89" s="5"/>
      <c r="I89" s="1"/>
      <c r="J89" s="1"/>
      <c r="K89" s="4"/>
      <c r="L89" s="4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28"/>
      <c r="B90" s="1"/>
      <c r="C90" s="30"/>
      <c r="D90" s="30"/>
      <c r="E90" s="30"/>
      <c r="F90" s="31"/>
      <c r="G90" s="30"/>
      <c r="H90" s="5"/>
      <c r="I90" s="1"/>
      <c r="J90" s="1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28"/>
      <c r="B91" s="1"/>
      <c r="C91" s="30"/>
      <c r="D91" s="30"/>
      <c r="E91" s="30"/>
      <c r="F91" s="31"/>
      <c r="G91" s="30"/>
      <c r="H91" s="5"/>
      <c r="I91" s="1"/>
      <c r="J91" s="1"/>
      <c r="K91" s="4"/>
      <c r="L91" s="4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28"/>
      <c r="B92" s="1"/>
      <c r="C92" s="30"/>
      <c r="D92" s="30"/>
      <c r="E92" s="30"/>
      <c r="F92" s="31"/>
      <c r="G92" s="30"/>
      <c r="H92" s="5"/>
      <c r="I92" s="1"/>
      <c r="J92" s="1"/>
      <c r="K92" s="4"/>
      <c r="L92" s="4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28"/>
      <c r="B93" s="1"/>
      <c r="C93" s="30"/>
      <c r="D93" s="30"/>
      <c r="E93" s="30"/>
      <c r="F93" s="31"/>
      <c r="G93" s="30"/>
      <c r="H93" s="5"/>
      <c r="I93" s="1"/>
      <c r="J93" s="1"/>
      <c r="K93" s="4"/>
      <c r="L93" s="4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28"/>
      <c r="B94" s="1"/>
      <c r="C94" s="30"/>
      <c r="D94" s="30"/>
      <c r="E94" s="30"/>
      <c r="F94" s="31"/>
      <c r="G94" s="30"/>
      <c r="H94" s="5"/>
      <c r="I94" s="1"/>
      <c r="J94" s="1"/>
      <c r="K94" s="4"/>
      <c r="L94" s="4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28"/>
      <c r="B95" s="1"/>
      <c r="C95" s="30"/>
      <c r="D95" s="30"/>
      <c r="E95" s="30"/>
      <c r="F95" s="31"/>
      <c r="G95" s="30"/>
      <c r="H95" s="5"/>
      <c r="I95" s="1"/>
      <c r="J95" s="1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28"/>
      <c r="B96" s="1"/>
      <c r="C96" s="30"/>
      <c r="D96" s="30"/>
      <c r="E96" s="30"/>
      <c r="F96" s="31"/>
      <c r="G96" s="30"/>
      <c r="H96" s="5"/>
      <c r="I96" s="1"/>
      <c r="J96" s="1"/>
      <c r="K96" s="4"/>
      <c r="L96" s="4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28"/>
      <c r="B97" s="1"/>
      <c r="C97" s="30"/>
      <c r="D97" s="30"/>
      <c r="E97" s="30"/>
      <c r="F97" s="31"/>
      <c r="G97" s="30"/>
      <c r="H97" s="5"/>
      <c r="I97" s="1"/>
      <c r="J97" s="1"/>
      <c r="K97" s="4"/>
      <c r="L97" s="4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28"/>
      <c r="B98" s="1"/>
      <c r="C98" s="30"/>
      <c r="D98" s="30"/>
      <c r="E98" s="30"/>
      <c r="F98" s="31"/>
      <c r="G98" s="30"/>
      <c r="H98" s="5"/>
      <c r="I98" s="1"/>
      <c r="J98" s="1"/>
      <c r="K98" s="4"/>
      <c r="L98" s="4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28"/>
      <c r="B99" s="1"/>
      <c r="C99" s="30"/>
      <c r="D99" s="30"/>
      <c r="E99" s="30"/>
      <c r="F99" s="31"/>
      <c r="G99" s="30"/>
      <c r="H99" s="5"/>
      <c r="I99" s="1"/>
      <c r="J99" s="1"/>
      <c r="K99" s="4"/>
      <c r="L99" s="4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28"/>
      <c r="B100" s="1"/>
      <c r="C100" s="30"/>
      <c r="D100" s="30"/>
      <c r="E100" s="30"/>
      <c r="F100" s="31"/>
      <c r="G100" s="30"/>
      <c r="H100" s="5"/>
      <c r="I100" s="1"/>
      <c r="J100" s="1"/>
      <c r="K100" s="4"/>
      <c r="L100" s="4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28"/>
      <c r="B101" s="1"/>
      <c r="C101" s="30"/>
      <c r="D101" s="30"/>
      <c r="E101" s="30"/>
      <c r="F101" s="31"/>
      <c r="G101" s="30"/>
      <c r="H101" s="5"/>
      <c r="I101" s="1"/>
      <c r="J101" s="1"/>
      <c r="K101" s="4"/>
      <c r="L101" s="4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28"/>
      <c r="B102" s="1"/>
      <c r="C102" s="30"/>
      <c r="D102" s="30"/>
      <c r="E102" s="30"/>
      <c r="F102" s="31"/>
      <c r="G102" s="30"/>
      <c r="H102" s="5"/>
      <c r="I102" s="1"/>
      <c r="J102" s="1"/>
      <c r="K102" s="4"/>
      <c r="L102" s="4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28"/>
      <c r="B103" s="1"/>
      <c r="C103" s="30"/>
      <c r="D103" s="30"/>
      <c r="E103" s="30"/>
      <c r="F103" s="31"/>
      <c r="G103" s="30"/>
      <c r="H103" s="5"/>
      <c r="I103" s="1"/>
      <c r="J103" s="1"/>
      <c r="K103" s="4"/>
      <c r="L103" s="4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28"/>
      <c r="B104" s="1"/>
      <c r="C104" s="30"/>
      <c r="D104" s="30"/>
      <c r="E104" s="30"/>
      <c r="F104" s="31"/>
      <c r="G104" s="30"/>
      <c r="H104" s="5"/>
      <c r="I104" s="1"/>
      <c r="J104" s="1"/>
      <c r="K104" s="4"/>
      <c r="L104" s="4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28"/>
      <c r="B105" s="1"/>
      <c r="C105" s="30"/>
      <c r="D105" s="30"/>
      <c r="E105" s="30"/>
      <c r="F105" s="31"/>
      <c r="G105" s="30"/>
      <c r="H105" s="5"/>
      <c r="I105" s="1"/>
      <c r="J105" s="1"/>
      <c r="K105" s="4"/>
      <c r="L105" s="4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28"/>
      <c r="B106" s="1"/>
      <c r="C106" s="30"/>
      <c r="D106" s="30"/>
      <c r="E106" s="30"/>
      <c r="F106" s="31"/>
      <c r="G106" s="30"/>
      <c r="H106" s="5"/>
      <c r="I106" s="1"/>
      <c r="J106" s="1"/>
      <c r="K106" s="4"/>
      <c r="L106" s="4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28"/>
      <c r="B107" s="1"/>
      <c r="C107" s="30"/>
      <c r="D107" s="30"/>
      <c r="E107" s="30"/>
      <c r="F107" s="31"/>
      <c r="G107" s="30"/>
      <c r="H107" s="5"/>
      <c r="I107" s="1"/>
      <c r="J107" s="1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28"/>
      <c r="B108" s="1"/>
      <c r="C108" s="30"/>
      <c r="D108" s="30"/>
      <c r="E108" s="30"/>
      <c r="F108" s="31"/>
      <c r="G108" s="30"/>
      <c r="H108" s="5"/>
      <c r="I108" s="1"/>
      <c r="J108" s="1"/>
      <c r="K108" s="4"/>
      <c r="L108" s="4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28"/>
      <c r="B109" s="1"/>
      <c r="C109" s="30"/>
      <c r="D109" s="30"/>
      <c r="E109" s="30"/>
      <c r="F109" s="31"/>
      <c r="G109" s="30"/>
      <c r="H109" s="5"/>
      <c r="I109" s="1"/>
      <c r="J109" s="1"/>
      <c r="K109" s="4"/>
      <c r="L109" s="4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28"/>
      <c r="B110" s="1"/>
      <c r="C110" s="30"/>
      <c r="D110" s="30"/>
      <c r="E110" s="30"/>
      <c r="F110" s="31"/>
      <c r="G110" s="30"/>
      <c r="H110" s="5"/>
      <c r="I110" s="1"/>
      <c r="J110" s="1"/>
      <c r="K110" s="4"/>
      <c r="L110" s="4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28"/>
      <c r="B111" s="1"/>
      <c r="C111" s="30"/>
      <c r="D111" s="30"/>
      <c r="E111" s="30"/>
      <c r="F111" s="31"/>
      <c r="G111" s="30"/>
      <c r="H111" s="5"/>
      <c r="I111" s="1"/>
      <c r="J111" s="1"/>
      <c r="K111" s="4"/>
      <c r="L111" s="4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28"/>
      <c r="B112" s="1"/>
      <c r="C112" s="30"/>
      <c r="D112" s="30"/>
      <c r="E112" s="30"/>
      <c r="F112" s="31"/>
      <c r="G112" s="30"/>
      <c r="H112" s="5"/>
      <c r="I112" s="1"/>
      <c r="J112" s="1"/>
      <c r="K112" s="4"/>
      <c r="L112" s="4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28"/>
      <c r="B113" s="1"/>
      <c r="C113" s="30"/>
      <c r="D113" s="30"/>
      <c r="E113" s="30"/>
      <c r="F113" s="31"/>
      <c r="G113" s="30"/>
      <c r="H113" s="5"/>
      <c r="I113" s="1"/>
      <c r="J113" s="1"/>
      <c r="K113" s="4"/>
      <c r="L113" s="4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28"/>
      <c r="B114" s="1"/>
      <c r="C114" s="30"/>
      <c r="D114" s="30"/>
      <c r="E114" s="30"/>
      <c r="F114" s="31"/>
      <c r="G114" s="30"/>
      <c r="H114" s="5"/>
      <c r="I114" s="1"/>
      <c r="J114" s="1"/>
      <c r="K114" s="4"/>
      <c r="L114" s="4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28"/>
      <c r="B115" s="1"/>
      <c r="C115" s="30"/>
      <c r="D115" s="30"/>
      <c r="E115" s="30"/>
      <c r="F115" s="31"/>
      <c r="G115" s="30"/>
      <c r="H115" s="5"/>
      <c r="I115" s="1"/>
      <c r="J115" s="1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28"/>
      <c r="B116" s="1"/>
      <c r="C116" s="30"/>
      <c r="D116" s="30"/>
      <c r="E116" s="30"/>
      <c r="F116" s="31"/>
      <c r="G116" s="30"/>
      <c r="H116" s="5"/>
      <c r="I116" s="1"/>
      <c r="J116" s="1"/>
      <c r="K116" s="4"/>
      <c r="L116" s="4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28"/>
      <c r="B117" s="1"/>
      <c r="C117" s="30"/>
      <c r="D117" s="30"/>
      <c r="E117" s="30"/>
      <c r="F117" s="31"/>
      <c r="G117" s="30"/>
      <c r="H117" s="5"/>
      <c r="I117" s="1"/>
      <c r="J117" s="1"/>
      <c r="K117" s="4"/>
      <c r="L117" s="4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28"/>
      <c r="B118" s="1"/>
      <c r="C118" s="30"/>
      <c r="D118" s="30"/>
      <c r="E118" s="30"/>
      <c r="F118" s="31"/>
      <c r="G118" s="30"/>
      <c r="H118" s="5"/>
      <c r="I118" s="1"/>
      <c r="J118" s="1"/>
      <c r="K118" s="4"/>
      <c r="L118" s="4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28"/>
      <c r="B119" s="1"/>
      <c r="C119" s="30"/>
      <c r="D119" s="30"/>
      <c r="E119" s="30"/>
      <c r="F119" s="31"/>
      <c r="G119" s="30"/>
      <c r="H119" s="5"/>
      <c r="I119" s="1"/>
      <c r="J119" s="1"/>
      <c r="K119" s="4"/>
      <c r="L119" s="4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28"/>
      <c r="B120" s="1"/>
      <c r="C120" s="30"/>
      <c r="D120" s="30"/>
      <c r="E120" s="30"/>
      <c r="F120" s="31"/>
      <c r="G120" s="30"/>
      <c r="H120" s="5"/>
      <c r="I120" s="1"/>
      <c r="J120" s="1"/>
      <c r="K120" s="4"/>
      <c r="L120" s="4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28"/>
      <c r="B121" s="1"/>
      <c r="C121" s="30"/>
      <c r="D121" s="30"/>
      <c r="E121" s="30"/>
      <c r="F121" s="31"/>
      <c r="G121" s="30"/>
      <c r="H121" s="5"/>
      <c r="I121" s="1"/>
      <c r="J121" s="1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28"/>
      <c r="B122" s="1"/>
      <c r="C122" s="30"/>
      <c r="D122" s="30"/>
      <c r="E122" s="30"/>
      <c r="F122" s="31"/>
      <c r="G122" s="30"/>
      <c r="H122" s="5"/>
      <c r="I122" s="1"/>
      <c r="J122" s="1"/>
      <c r="K122" s="4"/>
      <c r="L122" s="4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28"/>
      <c r="B123" s="1"/>
      <c r="C123" s="30"/>
      <c r="D123" s="30"/>
      <c r="E123" s="30"/>
      <c r="F123" s="31"/>
      <c r="G123" s="30"/>
      <c r="H123" s="5"/>
      <c r="I123" s="1"/>
      <c r="J123" s="1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28"/>
      <c r="B124" s="1"/>
      <c r="C124" s="30"/>
      <c r="D124" s="30"/>
      <c r="E124" s="30"/>
      <c r="F124" s="31"/>
      <c r="G124" s="30"/>
      <c r="H124" s="5"/>
      <c r="I124" s="1"/>
      <c r="J124" s="1"/>
      <c r="K124" s="4"/>
      <c r="L124" s="4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28"/>
      <c r="B125" s="1"/>
      <c r="C125" s="30"/>
      <c r="D125" s="30"/>
      <c r="E125" s="30"/>
      <c r="F125" s="31"/>
      <c r="G125" s="30"/>
      <c r="H125" s="5"/>
      <c r="I125" s="1"/>
      <c r="J125" s="1"/>
      <c r="K125" s="4"/>
      <c r="L125" s="4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28"/>
      <c r="B126" s="1"/>
      <c r="C126" s="30"/>
      <c r="D126" s="30"/>
      <c r="E126" s="30"/>
      <c r="F126" s="31"/>
      <c r="G126" s="30"/>
      <c r="H126" s="5"/>
      <c r="I126" s="1"/>
      <c r="J126" s="1"/>
      <c r="K126" s="4"/>
      <c r="L126" s="4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28"/>
      <c r="B127" s="1"/>
      <c r="C127" s="30"/>
      <c r="D127" s="30"/>
      <c r="E127" s="30"/>
      <c r="F127" s="31"/>
      <c r="G127" s="30"/>
      <c r="H127" s="5"/>
      <c r="I127" s="1"/>
      <c r="J127" s="1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28"/>
      <c r="B128" s="1"/>
      <c r="C128" s="30"/>
      <c r="D128" s="30"/>
      <c r="E128" s="30"/>
      <c r="F128" s="31"/>
      <c r="G128" s="30"/>
      <c r="H128" s="5"/>
      <c r="I128" s="1"/>
      <c r="J128" s="1"/>
      <c r="K128" s="4"/>
      <c r="L128" s="4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28"/>
      <c r="B129" s="1"/>
      <c r="C129" s="30"/>
      <c r="D129" s="30"/>
      <c r="E129" s="30"/>
      <c r="F129" s="31"/>
      <c r="G129" s="30"/>
      <c r="H129" s="5"/>
      <c r="I129" s="1"/>
      <c r="J129" s="1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28"/>
      <c r="B130" s="1"/>
      <c r="C130" s="30"/>
      <c r="D130" s="30"/>
      <c r="E130" s="30"/>
      <c r="F130" s="31"/>
      <c r="G130" s="30"/>
      <c r="H130" s="5"/>
      <c r="I130" s="1"/>
      <c r="J130" s="1"/>
      <c r="K130" s="4"/>
      <c r="L130" s="4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28"/>
      <c r="B131" s="1"/>
      <c r="C131" s="30"/>
      <c r="D131" s="30"/>
      <c r="E131" s="30"/>
      <c r="F131" s="31"/>
      <c r="G131" s="30"/>
      <c r="H131" s="5"/>
      <c r="I131" s="1"/>
      <c r="J131" s="1"/>
      <c r="K131" s="4"/>
      <c r="L131" s="4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28"/>
      <c r="B132" s="1"/>
      <c r="C132" s="30"/>
      <c r="D132" s="30"/>
      <c r="E132" s="30"/>
      <c r="F132" s="31"/>
      <c r="G132" s="30"/>
      <c r="H132" s="5"/>
      <c r="I132" s="1"/>
      <c r="J132" s="1"/>
      <c r="K132" s="4"/>
      <c r="L132" s="4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28"/>
      <c r="B133" s="1"/>
      <c r="C133" s="30"/>
      <c r="D133" s="30"/>
      <c r="E133" s="30"/>
      <c r="F133" s="31"/>
      <c r="G133" s="30"/>
      <c r="H133" s="5"/>
      <c r="I133" s="1"/>
      <c r="J133" s="1"/>
      <c r="K133" s="4"/>
      <c r="L133" s="4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28"/>
      <c r="B134" s="1"/>
      <c r="C134" s="30"/>
      <c r="D134" s="30"/>
      <c r="E134" s="30"/>
      <c r="F134" s="31"/>
      <c r="G134" s="30"/>
      <c r="H134" s="5"/>
      <c r="I134" s="1"/>
      <c r="J134" s="1"/>
      <c r="K134" s="4"/>
      <c r="L134" s="4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28"/>
      <c r="B135" s="1"/>
      <c r="C135" s="30"/>
      <c r="D135" s="30"/>
      <c r="E135" s="30"/>
      <c r="F135" s="31"/>
      <c r="G135" s="30"/>
      <c r="H135" s="5"/>
      <c r="I135" s="1"/>
      <c r="J135" s="1"/>
      <c r="K135" s="4"/>
      <c r="L135" s="4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28"/>
      <c r="B136" s="1"/>
      <c r="C136" s="30"/>
      <c r="D136" s="30"/>
      <c r="E136" s="30"/>
      <c r="F136" s="31"/>
      <c r="G136" s="30"/>
      <c r="H136" s="5"/>
      <c r="I136" s="1"/>
      <c r="J136" s="1"/>
      <c r="K136" s="4"/>
      <c r="L136" s="4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28"/>
      <c r="B137" s="1"/>
      <c r="C137" s="30"/>
      <c r="D137" s="30"/>
      <c r="E137" s="30"/>
      <c r="F137" s="31"/>
      <c r="G137" s="30"/>
      <c r="H137" s="5"/>
      <c r="I137" s="1"/>
      <c r="J137" s="1"/>
      <c r="K137" s="4"/>
      <c r="L137" s="4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28"/>
      <c r="B138" s="1"/>
      <c r="C138" s="30"/>
      <c r="D138" s="30"/>
      <c r="E138" s="30"/>
      <c r="F138" s="31"/>
      <c r="G138" s="30"/>
      <c r="H138" s="5"/>
      <c r="I138" s="1"/>
      <c r="J138" s="1"/>
      <c r="K138" s="4"/>
      <c r="L138" s="4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28"/>
      <c r="B139" s="1"/>
      <c r="C139" s="30"/>
      <c r="D139" s="30"/>
      <c r="E139" s="30"/>
      <c r="F139" s="31"/>
      <c r="G139" s="30"/>
      <c r="H139" s="5"/>
      <c r="I139" s="1"/>
      <c r="J139" s="1"/>
      <c r="K139" s="4"/>
      <c r="L139" s="4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28"/>
      <c r="B140" s="1"/>
      <c r="C140" s="30"/>
      <c r="D140" s="30"/>
      <c r="E140" s="30"/>
      <c r="F140" s="31"/>
      <c r="G140" s="30"/>
      <c r="H140" s="5"/>
      <c r="I140" s="1"/>
      <c r="J140" s="1"/>
      <c r="K140" s="4"/>
      <c r="L140" s="4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28"/>
      <c r="B141" s="1"/>
      <c r="C141" s="30"/>
      <c r="D141" s="30"/>
      <c r="E141" s="30"/>
      <c r="F141" s="31"/>
      <c r="G141" s="30"/>
      <c r="H141" s="5"/>
      <c r="I141" s="1"/>
      <c r="J141" s="1"/>
      <c r="K141" s="4"/>
      <c r="L141" s="4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28"/>
      <c r="B142" s="1"/>
      <c r="C142" s="30"/>
      <c r="D142" s="30"/>
      <c r="E142" s="30"/>
      <c r="F142" s="31"/>
      <c r="G142" s="30"/>
      <c r="H142" s="5"/>
      <c r="I142" s="1"/>
      <c r="J142" s="1"/>
      <c r="K142" s="4"/>
      <c r="L142" s="4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28"/>
      <c r="B143" s="1"/>
      <c r="C143" s="30"/>
      <c r="D143" s="30"/>
      <c r="E143" s="30"/>
      <c r="F143" s="31"/>
      <c r="G143" s="30"/>
      <c r="H143" s="5"/>
      <c r="I143" s="1"/>
      <c r="J143" s="1"/>
      <c r="K143" s="4"/>
      <c r="L143" s="4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28"/>
      <c r="B144" s="1"/>
      <c r="C144" s="30"/>
      <c r="D144" s="30"/>
      <c r="E144" s="30"/>
      <c r="F144" s="31"/>
      <c r="G144" s="30"/>
      <c r="H144" s="5"/>
      <c r="I144" s="1"/>
      <c r="J144" s="1"/>
      <c r="K144" s="4"/>
      <c r="L144" s="4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28"/>
      <c r="B145" s="1"/>
      <c r="C145" s="30"/>
      <c r="D145" s="30"/>
      <c r="E145" s="30"/>
      <c r="F145" s="31"/>
      <c r="G145" s="30"/>
      <c r="H145" s="5"/>
      <c r="I145" s="1"/>
      <c r="J145" s="1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28"/>
      <c r="B146" s="1"/>
      <c r="C146" s="30"/>
      <c r="D146" s="30"/>
      <c r="E146" s="30"/>
      <c r="F146" s="31"/>
      <c r="G146" s="30"/>
      <c r="H146" s="5"/>
      <c r="I146" s="1"/>
      <c r="J146" s="1"/>
      <c r="K146" s="4"/>
      <c r="L146" s="4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28"/>
      <c r="B147" s="1"/>
      <c r="C147" s="30"/>
      <c r="D147" s="30"/>
      <c r="E147" s="30"/>
      <c r="F147" s="31"/>
      <c r="G147" s="30"/>
      <c r="H147" s="5"/>
      <c r="I147" s="1"/>
      <c r="J147" s="1"/>
      <c r="K147" s="4"/>
      <c r="L147" s="4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28"/>
      <c r="B148" s="1"/>
      <c r="C148" s="30"/>
      <c r="D148" s="30"/>
      <c r="E148" s="30"/>
      <c r="F148" s="31"/>
      <c r="G148" s="30"/>
      <c r="H148" s="5"/>
      <c r="I148" s="1"/>
      <c r="J148" s="1"/>
      <c r="K148" s="4"/>
      <c r="L148" s="4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28"/>
      <c r="B149" s="1"/>
      <c r="C149" s="30"/>
      <c r="D149" s="30"/>
      <c r="E149" s="30"/>
      <c r="F149" s="31"/>
      <c r="G149" s="30"/>
      <c r="H149" s="5"/>
      <c r="I149" s="1"/>
      <c r="J149" s="1"/>
      <c r="K149" s="4"/>
      <c r="L149" s="4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28"/>
      <c r="B150" s="1"/>
      <c r="C150" s="30"/>
      <c r="D150" s="30"/>
      <c r="E150" s="30"/>
      <c r="F150" s="31"/>
      <c r="G150" s="30"/>
      <c r="H150" s="5"/>
      <c r="I150" s="1"/>
      <c r="J150" s="1"/>
      <c r="K150" s="4"/>
      <c r="L150" s="4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28"/>
      <c r="B151" s="1"/>
      <c r="C151" s="30"/>
      <c r="D151" s="30"/>
      <c r="E151" s="30"/>
      <c r="F151" s="31"/>
      <c r="G151" s="30"/>
      <c r="H151" s="5"/>
      <c r="I151" s="1"/>
      <c r="J151" s="1"/>
      <c r="K151" s="4"/>
      <c r="L151" s="4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28"/>
      <c r="B152" s="1"/>
      <c r="C152" s="30"/>
      <c r="D152" s="30"/>
      <c r="E152" s="30"/>
      <c r="F152" s="31"/>
      <c r="G152" s="30"/>
      <c r="H152" s="5"/>
      <c r="I152" s="1"/>
      <c r="J152" s="1"/>
      <c r="K152" s="4"/>
      <c r="L152" s="4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28"/>
      <c r="B153" s="1"/>
      <c r="C153" s="30"/>
      <c r="D153" s="30"/>
      <c r="E153" s="30"/>
      <c r="F153" s="31"/>
      <c r="G153" s="30"/>
      <c r="H153" s="5"/>
      <c r="I153" s="1"/>
      <c r="J153" s="1"/>
      <c r="K153" s="4"/>
      <c r="L153" s="4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28"/>
      <c r="B154" s="1"/>
      <c r="C154" s="30"/>
      <c r="D154" s="30"/>
      <c r="E154" s="30"/>
      <c r="F154" s="31"/>
      <c r="G154" s="30"/>
      <c r="H154" s="5"/>
      <c r="I154" s="1"/>
      <c r="J154" s="1"/>
      <c r="K154" s="4"/>
      <c r="L154" s="4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28"/>
      <c r="B155" s="1"/>
      <c r="C155" s="30"/>
      <c r="D155" s="30"/>
      <c r="E155" s="30"/>
      <c r="F155" s="31"/>
      <c r="G155" s="30"/>
      <c r="H155" s="5"/>
      <c r="I155" s="1"/>
      <c r="J155" s="1"/>
      <c r="K155" s="4"/>
      <c r="L155" s="4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28"/>
      <c r="B156" s="1"/>
      <c r="C156" s="30"/>
      <c r="D156" s="30"/>
      <c r="E156" s="30"/>
      <c r="F156" s="31"/>
      <c r="G156" s="30"/>
      <c r="H156" s="5"/>
      <c r="I156" s="1"/>
      <c r="J156" s="1"/>
      <c r="K156" s="4"/>
      <c r="L156" s="4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28"/>
      <c r="B157" s="1"/>
      <c r="C157" s="30"/>
      <c r="D157" s="30"/>
      <c r="E157" s="30"/>
      <c r="F157" s="31"/>
      <c r="G157" s="30"/>
      <c r="H157" s="5"/>
      <c r="I157" s="1"/>
      <c r="J157" s="1"/>
      <c r="K157" s="4"/>
      <c r="L157" s="4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28"/>
      <c r="B158" s="1"/>
      <c r="C158" s="30"/>
      <c r="D158" s="30"/>
      <c r="E158" s="30"/>
      <c r="F158" s="31"/>
      <c r="G158" s="30"/>
      <c r="H158" s="5"/>
      <c r="I158" s="1"/>
      <c r="J158" s="1"/>
      <c r="K158" s="4"/>
      <c r="L158" s="4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28"/>
      <c r="B159" s="1"/>
      <c r="C159" s="30"/>
      <c r="D159" s="30"/>
      <c r="E159" s="30"/>
      <c r="F159" s="31"/>
      <c r="G159" s="30"/>
      <c r="H159" s="5"/>
      <c r="I159" s="1"/>
      <c r="J159" s="1"/>
      <c r="K159" s="4"/>
      <c r="L159" s="4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28"/>
      <c r="B160" s="1"/>
      <c r="C160" s="30"/>
      <c r="D160" s="30"/>
      <c r="E160" s="30"/>
      <c r="F160" s="31"/>
      <c r="G160" s="30"/>
      <c r="H160" s="5"/>
      <c r="I160" s="1"/>
      <c r="J160" s="1"/>
      <c r="K160" s="4"/>
      <c r="L160" s="4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28"/>
      <c r="B161" s="1"/>
      <c r="C161" s="30"/>
      <c r="D161" s="30"/>
      <c r="E161" s="30"/>
      <c r="F161" s="31"/>
      <c r="G161" s="30"/>
      <c r="H161" s="5"/>
      <c r="I161" s="1"/>
      <c r="J161" s="1"/>
      <c r="K161" s="4"/>
      <c r="L161" s="4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28"/>
      <c r="B162" s="1"/>
      <c r="C162" s="30"/>
      <c r="D162" s="30"/>
      <c r="E162" s="30"/>
      <c r="F162" s="31"/>
      <c r="G162" s="30"/>
      <c r="H162" s="5"/>
      <c r="I162" s="1"/>
      <c r="J162" s="1"/>
      <c r="K162" s="4"/>
      <c r="L162" s="4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28"/>
      <c r="B163" s="1"/>
      <c r="C163" s="30"/>
      <c r="D163" s="30"/>
      <c r="E163" s="30"/>
      <c r="F163" s="31"/>
      <c r="G163" s="30"/>
      <c r="H163" s="5"/>
      <c r="I163" s="1"/>
      <c r="J163" s="1"/>
      <c r="K163" s="4"/>
      <c r="L163" s="4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28"/>
      <c r="B164" s="1"/>
      <c r="C164" s="30"/>
      <c r="D164" s="30"/>
      <c r="E164" s="30"/>
      <c r="F164" s="31"/>
      <c r="G164" s="30"/>
      <c r="H164" s="5"/>
      <c r="I164" s="1"/>
      <c r="J164" s="1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28"/>
      <c r="B165" s="1"/>
      <c r="C165" s="30"/>
      <c r="D165" s="30"/>
      <c r="E165" s="30"/>
      <c r="F165" s="31"/>
      <c r="G165" s="30"/>
      <c r="H165" s="5"/>
      <c r="I165" s="1"/>
      <c r="J165" s="1"/>
      <c r="K165" s="4"/>
      <c r="L165" s="4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28"/>
      <c r="B166" s="1"/>
      <c r="C166" s="30"/>
      <c r="D166" s="30"/>
      <c r="E166" s="30"/>
      <c r="F166" s="31"/>
      <c r="G166" s="30"/>
      <c r="H166" s="5"/>
      <c r="I166" s="1"/>
      <c r="J166" s="1"/>
      <c r="K166" s="4"/>
      <c r="L166" s="4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28"/>
      <c r="B167" s="1"/>
      <c r="C167" s="30"/>
      <c r="D167" s="30"/>
      <c r="E167" s="30"/>
      <c r="F167" s="31"/>
      <c r="G167" s="30"/>
      <c r="H167" s="5"/>
      <c r="I167" s="1"/>
      <c r="J167" s="1"/>
      <c r="K167" s="4"/>
      <c r="L167" s="4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28"/>
      <c r="B168" s="1"/>
      <c r="C168" s="30"/>
      <c r="D168" s="30"/>
      <c r="E168" s="30"/>
      <c r="F168" s="31"/>
      <c r="G168" s="30"/>
      <c r="H168" s="5"/>
      <c r="I168" s="1"/>
      <c r="J168" s="1"/>
      <c r="K168" s="4"/>
      <c r="L168" s="4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28"/>
      <c r="B169" s="1"/>
      <c r="C169" s="30"/>
      <c r="D169" s="30"/>
      <c r="E169" s="30"/>
      <c r="F169" s="31"/>
      <c r="G169" s="30"/>
      <c r="H169" s="5"/>
      <c r="I169" s="1"/>
      <c r="J169" s="1"/>
      <c r="K169" s="4"/>
      <c r="L169" s="4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28"/>
      <c r="B170" s="1"/>
      <c r="C170" s="30"/>
      <c r="D170" s="30"/>
      <c r="E170" s="30"/>
      <c r="F170" s="31"/>
      <c r="G170" s="30"/>
      <c r="H170" s="5"/>
      <c r="I170" s="1"/>
      <c r="J170" s="1"/>
      <c r="K170" s="4"/>
      <c r="L170" s="4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28"/>
      <c r="B171" s="1"/>
      <c r="C171" s="30"/>
      <c r="D171" s="30"/>
      <c r="E171" s="30"/>
      <c r="F171" s="31"/>
      <c r="G171" s="30"/>
      <c r="H171" s="5"/>
      <c r="I171" s="1"/>
      <c r="J171" s="1"/>
      <c r="K171" s="4"/>
      <c r="L171" s="4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28"/>
      <c r="B172" s="1"/>
      <c r="C172" s="30"/>
      <c r="D172" s="30"/>
      <c r="E172" s="30"/>
      <c r="F172" s="31"/>
      <c r="G172" s="30"/>
      <c r="H172" s="5"/>
      <c r="I172" s="1"/>
      <c r="J172" s="1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28"/>
      <c r="B173" s="1"/>
      <c r="C173" s="30"/>
      <c r="D173" s="30"/>
      <c r="E173" s="30"/>
      <c r="F173" s="31"/>
      <c r="G173" s="30"/>
      <c r="H173" s="5"/>
      <c r="I173" s="1"/>
      <c r="J173" s="1"/>
      <c r="K173" s="4"/>
      <c r="L173" s="4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28"/>
      <c r="B174" s="1"/>
      <c r="C174" s="30"/>
      <c r="D174" s="30"/>
      <c r="E174" s="30"/>
      <c r="F174" s="31"/>
      <c r="G174" s="30"/>
      <c r="H174" s="5"/>
      <c r="I174" s="1"/>
      <c r="J174" s="1"/>
      <c r="K174" s="4"/>
      <c r="L174" s="4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28"/>
      <c r="B175" s="1"/>
      <c r="C175" s="30"/>
      <c r="D175" s="30"/>
      <c r="E175" s="30"/>
      <c r="F175" s="31"/>
      <c r="G175" s="30"/>
      <c r="H175" s="5"/>
      <c r="I175" s="1"/>
      <c r="J175" s="1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28"/>
      <c r="B176" s="1"/>
      <c r="C176" s="30"/>
      <c r="D176" s="30"/>
      <c r="E176" s="30"/>
      <c r="F176" s="31"/>
      <c r="G176" s="30"/>
      <c r="H176" s="5"/>
      <c r="I176" s="1"/>
      <c r="J176" s="1"/>
      <c r="K176" s="4"/>
      <c r="L176" s="4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28"/>
      <c r="B177" s="1"/>
      <c r="C177" s="30"/>
      <c r="D177" s="30"/>
      <c r="E177" s="30"/>
      <c r="F177" s="31"/>
      <c r="G177" s="30"/>
      <c r="H177" s="5"/>
      <c r="I177" s="1"/>
      <c r="J177" s="1"/>
      <c r="K177" s="4"/>
      <c r="L177" s="4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28"/>
      <c r="B178" s="1"/>
      <c r="C178" s="30"/>
      <c r="D178" s="30"/>
      <c r="E178" s="30"/>
      <c r="F178" s="31"/>
      <c r="G178" s="30"/>
      <c r="H178" s="5"/>
      <c r="I178" s="1"/>
      <c r="J178" s="1"/>
      <c r="K178" s="4"/>
      <c r="L178" s="4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28"/>
      <c r="B179" s="1"/>
      <c r="C179" s="30"/>
      <c r="D179" s="30"/>
      <c r="E179" s="30"/>
      <c r="F179" s="31"/>
      <c r="G179" s="30"/>
      <c r="H179" s="5"/>
      <c r="I179" s="1"/>
      <c r="J179" s="1"/>
      <c r="K179" s="4"/>
      <c r="L179" s="4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28"/>
      <c r="B180" s="1"/>
      <c r="C180" s="30"/>
      <c r="D180" s="30"/>
      <c r="E180" s="30"/>
      <c r="F180" s="31"/>
      <c r="G180" s="30"/>
      <c r="H180" s="5"/>
      <c r="I180" s="1"/>
      <c r="J180" s="1"/>
      <c r="K180" s="4"/>
      <c r="L180" s="4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28"/>
      <c r="B181" s="1"/>
      <c r="C181" s="30"/>
      <c r="D181" s="30"/>
      <c r="E181" s="30"/>
      <c r="F181" s="31"/>
      <c r="G181" s="30"/>
      <c r="H181" s="5"/>
      <c r="I181" s="1"/>
      <c r="J181" s="1"/>
      <c r="K181" s="4"/>
      <c r="L181" s="4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28"/>
      <c r="B182" s="1"/>
      <c r="C182" s="30"/>
      <c r="D182" s="30"/>
      <c r="E182" s="30"/>
      <c r="F182" s="31"/>
      <c r="G182" s="30"/>
      <c r="H182" s="5"/>
      <c r="I182" s="1"/>
      <c r="J182" s="1"/>
      <c r="K182" s="4"/>
      <c r="L182" s="4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28"/>
      <c r="B183" s="1"/>
      <c r="C183" s="30"/>
      <c r="D183" s="30"/>
      <c r="E183" s="30"/>
      <c r="F183" s="31"/>
      <c r="G183" s="30"/>
      <c r="H183" s="5"/>
      <c r="I183" s="1"/>
      <c r="J183" s="1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28"/>
      <c r="B184" s="1"/>
      <c r="C184" s="30"/>
      <c r="D184" s="30"/>
      <c r="E184" s="30"/>
      <c r="F184" s="31"/>
      <c r="G184" s="30"/>
      <c r="H184" s="5"/>
      <c r="I184" s="1"/>
      <c r="J184" s="1"/>
      <c r="K184" s="4"/>
      <c r="L184" s="4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28"/>
      <c r="B185" s="1"/>
      <c r="C185" s="30"/>
      <c r="D185" s="30"/>
      <c r="E185" s="30"/>
      <c r="F185" s="31"/>
      <c r="G185" s="30"/>
      <c r="H185" s="5"/>
      <c r="I185" s="1"/>
      <c r="J185" s="1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28"/>
      <c r="B186" s="1"/>
      <c r="C186" s="30"/>
      <c r="D186" s="30"/>
      <c r="E186" s="30"/>
      <c r="F186" s="31"/>
      <c r="G186" s="30"/>
      <c r="H186" s="5"/>
      <c r="I186" s="1"/>
      <c r="J186" s="1"/>
      <c r="K186" s="4"/>
      <c r="L186" s="4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28"/>
      <c r="B187" s="1"/>
      <c r="C187" s="30"/>
      <c r="D187" s="30"/>
      <c r="E187" s="30"/>
      <c r="F187" s="31"/>
      <c r="G187" s="30"/>
      <c r="H187" s="5"/>
      <c r="I187" s="1"/>
      <c r="J187" s="1"/>
      <c r="K187" s="4"/>
      <c r="L187" s="4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28"/>
      <c r="B188" s="1"/>
      <c r="C188" s="30"/>
      <c r="D188" s="30"/>
      <c r="E188" s="30"/>
      <c r="F188" s="31"/>
      <c r="G188" s="30"/>
      <c r="H188" s="5"/>
      <c r="I188" s="1"/>
      <c r="J188" s="1"/>
      <c r="K188" s="4"/>
      <c r="L188" s="4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28"/>
      <c r="B189" s="1"/>
      <c r="C189" s="30"/>
      <c r="D189" s="30"/>
      <c r="E189" s="30"/>
      <c r="F189" s="31"/>
      <c r="G189" s="30"/>
      <c r="H189" s="5"/>
      <c r="I189" s="1"/>
      <c r="J189" s="1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28"/>
      <c r="B190" s="1"/>
      <c r="C190" s="30"/>
      <c r="D190" s="30"/>
      <c r="E190" s="30"/>
      <c r="F190" s="31"/>
      <c r="G190" s="30"/>
      <c r="H190" s="5"/>
      <c r="I190" s="1"/>
      <c r="J190" s="1"/>
      <c r="K190" s="4"/>
      <c r="L190" s="4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28"/>
      <c r="B191" s="1"/>
      <c r="C191" s="30"/>
      <c r="D191" s="30"/>
      <c r="E191" s="30"/>
      <c r="F191" s="31"/>
      <c r="G191" s="30"/>
      <c r="H191" s="5"/>
      <c r="I191" s="1"/>
      <c r="J191" s="1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28"/>
      <c r="B192" s="1"/>
      <c r="C192" s="30"/>
      <c r="D192" s="30"/>
      <c r="E192" s="30"/>
      <c r="F192" s="31"/>
      <c r="G192" s="30"/>
      <c r="H192" s="5"/>
      <c r="I192" s="1"/>
      <c r="J192" s="1"/>
      <c r="K192" s="4"/>
      <c r="L192" s="4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28"/>
      <c r="B193" s="1"/>
      <c r="C193" s="30"/>
      <c r="D193" s="30"/>
      <c r="E193" s="30"/>
      <c r="F193" s="31"/>
      <c r="G193" s="30"/>
      <c r="H193" s="5"/>
      <c r="I193" s="1"/>
      <c r="J193" s="1"/>
      <c r="K193" s="4"/>
      <c r="L193" s="4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28"/>
      <c r="B194" s="1"/>
      <c r="C194" s="30"/>
      <c r="D194" s="30"/>
      <c r="E194" s="30"/>
      <c r="F194" s="31"/>
      <c r="G194" s="30"/>
      <c r="H194" s="5"/>
      <c r="I194" s="1"/>
      <c r="J194" s="1"/>
      <c r="K194" s="4"/>
      <c r="L194" s="4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28"/>
      <c r="B195" s="1"/>
      <c r="C195" s="30"/>
      <c r="D195" s="30"/>
      <c r="E195" s="30"/>
      <c r="F195" s="31"/>
      <c r="G195" s="30"/>
      <c r="H195" s="5"/>
      <c r="I195" s="1"/>
      <c r="J195" s="1"/>
      <c r="K195" s="4"/>
      <c r="L195" s="4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28"/>
      <c r="B196" s="1"/>
      <c r="C196" s="30"/>
      <c r="D196" s="30"/>
      <c r="E196" s="30"/>
      <c r="F196" s="31"/>
      <c r="G196" s="30"/>
      <c r="H196" s="5"/>
      <c r="I196" s="1"/>
      <c r="J196" s="1"/>
      <c r="K196" s="4"/>
      <c r="L196" s="4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28"/>
      <c r="B197" s="1"/>
      <c r="C197" s="30"/>
      <c r="D197" s="30"/>
      <c r="E197" s="30"/>
      <c r="F197" s="31"/>
      <c r="G197" s="30"/>
      <c r="H197" s="5"/>
      <c r="I197" s="1"/>
      <c r="J197" s="1"/>
      <c r="K197" s="4"/>
      <c r="L197" s="4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28"/>
      <c r="B198" s="1"/>
      <c r="C198" s="30"/>
      <c r="D198" s="30"/>
      <c r="E198" s="30"/>
      <c r="F198" s="31"/>
      <c r="G198" s="30"/>
      <c r="H198" s="5"/>
      <c r="I198" s="1"/>
      <c r="J198" s="1"/>
      <c r="K198" s="4"/>
      <c r="L198" s="4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28"/>
      <c r="B199" s="1"/>
      <c r="C199" s="30"/>
      <c r="D199" s="30"/>
      <c r="E199" s="30"/>
      <c r="F199" s="31"/>
      <c r="G199" s="30"/>
      <c r="H199" s="5"/>
      <c r="I199" s="1"/>
      <c r="J199" s="1"/>
      <c r="K199" s="4"/>
      <c r="L199" s="4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28"/>
      <c r="B200" s="1"/>
      <c r="C200" s="30"/>
      <c r="D200" s="30"/>
      <c r="E200" s="30"/>
      <c r="F200" s="31"/>
      <c r="G200" s="30"/>
      <c r="H200" s="5"/>
      <c r="I200" s="1"/>
      <c r="J200" s="1"/>
      <c r="K200" s="4"/>
      <c r="L200" s="4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28"/>
      <c r="B201" s="1"/>
      <c r="C201" s="30"/>
      <c r="D201" s="30"/>
      <c r="E201" s="30"/>
      <c r="F201" s="31"/>
      <c r="G201" s="30"/>
      <c r="H201" s="5"/>
      <c r="I201" s="1"/>
      <c r="J201" s="1"/>
      <c r="K201" s="4"/>
      <c r="L201" s="4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28"/>
      <c r="B202" s="1"/>
      <c r="C202" s="30"/>
      <c r="D202" s="30"/>
      <c r="E202" s="30"/>
      <c r="F202" s="31"/>
      <c r="G202" s="30"/>
      <c r="H202" s="5"/>
      <c r="I202" s="1"/>
      <c r="J202" s="1"/>
      <c r="K202" s="4"/>
      <c r="L202" s="4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28"/>
      <c r="B203" s="1"/>
      <c r="C203" s="30"/>
      <c r="D203" s="30"/>
      <c r="E203" s="30"/>
      <c r="F203" s="31"/>
      <c r="G203" s="30"/>
      <c r="H203" s="5"/>
      <c r="I203" s="1"/>
      <c r="J203" s="1"/>
      <c r="K203" s="4"/>
      <c r="L203" s="4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28"/>
      <c r="B204" s="1"/>
      <c r="C204" s="30"/>
      <c r="D204" s="30"/>
      <c r="E204" s="30"/>
      <c r="F204" s="31"/>
      <c r="G204" s="30"/>
      <c r="H204" s="5"/>
      <c r="I204" s="1"/>
      <c r="J204" s="1"/>
      <c r="K204" s="4"/>
      <c r="L204" s="4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28"/>
      <c r="B205" s="1"/>
      <c r="C205" s="30"/>
      <c r="D205" s="30"/>
      <c r="E205" s="30"/>
      <c r="F205" s="31"/>
      <c r="G205" s="30"/>
      <c r="H205" s="5"/>
      <c r="I205" s="1"/>
      <c r="J205" s="1"/>
      <c r="K205" s="4"/>
      <c r="L205" s="4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28"/>
      <c r="B206" s="1"/>
      <c r="C206" s="30"/>
      <c r="D206" s="30"/>
      <c r="E206" s="30"/>
      <c r="F206" s="31"/>
      <c r="G206" s="30"/>
      <c r="H206" s="5"/>
      <c r="I206" s="1"/>
      <c r="J206" s="1"/>
      <c r="K206" s="4"/>
      <c r="L206" s="4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28"/>
      <c r="B207" s="1"/>
      <c r="C207" s="30"/>
      <c r="D207" s="30"/>
      <c r="E207" s="30"/>
      <c r="F207" s="31"/>
      <c r="G207" s="30"/>
      <c r="H207" s="5"/>
      <c r="I207" s="1"/>
      <c r="J207" s="1"/>
      <c r="K207" s="4"/>
      <c r="L207" s="4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28"/>
      <c r="B208" s="1"/>
      <c r="C208" s="30"/>
      <c r="D208" s="30"/>
      <c r="E208" s="30"/>
      <c r="F208" s="31"/>
      <c r="G208" s="30"/>
      <c r="H208" s="5"/>
      <c r="I208" s="1"/>
      <c r="J208" s="1"/>
      <c r="K208" s="4"/>
      <c r="L208" s="4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28"/>
      <c r="B209" s="1"/>
      <c r="C209" s="30"/>
      <c r="D209" s="30"/>
      <c r="E209" s="30"/>
      <c r="F209" s="31"/>
      <c r="G209" s="30"/>
      <c r="H209" s="5"/>
      <c r="I209" s="1"/>
      <c r="J209" s="1"/>
      <c r="K209" s="4"/>
      <c r="L209" s="4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28"/>
      <c r="B210" s="1"/>
      <c r="C210" s="30"/>
      <c r="D210" s="30"/>
      <c r="E210" s="30"/>
      <c r="F210" s="31"/>
      <c r="G210" s="30"/>
      <c r="H210" s="5"/>
      <c r="I210" s="1"/>
      <c r="J210" s="1"/>
      <c r="K210" s="4"/>
      <c r="L210" s="4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28"/>
      <c r="B211" s="1"/>
      <c r="C211" s="30"/>
      <c r="D211" s="30"/>
      <c r="E211" s="30"/>
      <c r="F211" s="31"/>
      <c r="G211" s="30"/>
      <c r="H211" s="5"/>
      <c r="I211" s="1"/>
      <c r="J211" s="1"/>
      <c r="K211" s="4"/>
      <c r="L211" s="4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28"/>
      <c r="B212" s="1"/>
      <c r="C212" s="30"/>
      <c r="D212" s="30"/>
      <c r="E212" s="30"/>
      <c r="F212" s="31"/>
      <c r="G212" s="30"/>
      <c r="H212" s="5"/>
      <c r="I212" s="1"/>
      <c r="J212" s="1"/>
      <c r="K212" s="4"/>
      <c r="L212" s="4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28"/>
      <c r="B213" s="1"/>
      <c r="C213" s="30"/>
      <c r="D213" s="30"/>
      <c r="E213" s="30"/>
      <c r="F213" s="31"/>
      <c r="G213" s="30"/>
      <c r="H213" s="5"/>
      <c r="I213" s="1"/>
      <c r="J213" s="1"/>
      <c r="K213" s="4"/>
      <c r="L213" s="4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28"/>
      <c r="B214" s="1"/>
      <c r="C214" s="30"/>
      <c r="D214" s="30"/>
      <c r="E214" s="30"/>
      <c r="F214" s="31"/>
      <c r="G214" s="30"/>
      <c r="H214" s="5"/>
      <c r="I214" s="1"/>
      <c r="J214" s="1"/>
      <c r="K214" s="4"/>
      <c r="L214" s="4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28"/>
      <c r="B215" s="1"/>
      <c r="C215" s="30"/>
      <c r="D215" s="30"/>
      <c r="E215" s="30"/>
      <c r="F215" s="31"/>
      <c r="G215" s="30"/>
      <c r="H215" s="5"/>
      <c r="I215" s="1"/>
      <c r="J215" s="1"/>
      <c r="K215" s="4"/>
      <c r="L215" s="4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28"/>
      <c r="B216" s="1"/>
      <c r="C216" s="30"/>
      <c r="D216" s="30"/>
      <c r="E216" s="30"/>
      <c r="F216" s="31"/>
      <c r="G216" s="30"/>
      <c r="H216" s="5"/>
      <c r="I216" s="1"/>
      <c r="J216" s="1"/>
      <c r="K216" s="4"/>
      <c r="L216" s="4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28"/>
      <c r="B217" s="1"/>
      <c r="C217" s="30"/>
      <c r="D217" s="30"/>
      <c r="E217" s="30"/>
      <c r="F217" s="31"/>
      <c r="G217" s="30"/>
      <c r="H217" s="5"/>
      <c r="I217" s="1"/>
      <c r="J217" s="1"/>
      <c r="K217" s="4"/>
      <c r="L217" s="4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28"/>
      <c r="B218" s="1"/>
      <c r="C218" s="30"/>
      <c r="D218" s="30"/>
      <c r="E218" s="30"/>
      <c r="F218" s="31"/>
      <c r="G218" s="30"/>
      <c r="H218" s="5"/>
      <c r="I218" s="1"/>
      <c r="J218" s="1"/>
      <c r="K218" s="4"/>
      <c r="L218" s="4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28"/>
      <c r="B219" s="1"/>
      <c r="C219" s="30"/>
      <c r="D219" s="30"/>
      <c r="E219" s="30"/>
      <c r="F219" s="31"/>
      <c r="G219" s="30"/>
      <c r="H219" s="5"/>
      <c r="I219" s="1"/>
      <c r="J219" s="1"/>
      <c r="K219" s="4"/>
      <c r="L219" s="4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28"/>
      <c r="B220" s="1"/>
      <c r="C220" s="30"/>
      <c r="D220" s="30"/>
      <c r="E220" s="30"/>
      <c r="F220" s="31"/>
      <c r="G220" s="30"/>
      <c r="H220" s="5"/>
      <c r="I220" s="1"/>
      <c r="J220" s="1"/>
      <c r="K220" s="4"/>
      <c r="L220" s="4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28"/>
      <c r="B221" s="1"/>
      <c r="C221" s="30"/>
      <c r="D221" s="30"/>
      <c r="E221" s="30"/>
      <c r="F221" s="31"/>
      <c r="G221" s="30"/>
      <c r="H221" s="5"/>
      <c r="I221" s="1"/>
      <c r="J221" s="1"/>
      <c r="K221" s="4"/>
      <c r="L221" s="4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28"/>
      <c r="B222" s="1"/>
      <c r="C222" s="30"/>
      <c r="D222" s="30"/>
      <c r="E222" s="30"/>
      <c r="F222" s="31"/>
      <c r="G222" s="30"/>
      <c r="H222" s="5"/>
      <c r="I222" s="1"/>
      <c r="J222" s="1"/>
      <c r="K222" s="4"/>
      <c r="L222" s="4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28"/>
      <c r="B223" s="1"/>
      <c r="C223" s="30"/>
      <c r="D223" s="30"/>
      <c r="E223" s="30"/>
      <c r="F223" s="31"/>
      <c r="G223" s="30"/>
      <c r="H223" s="5"/>
      <c r="I223" s="1"/>
      <c r="J223" s="1"/>
      <c r="K223" s="4"/>
      <c r="L223" s="4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28"/>
      <c r="B224" s="1"/>
      <c r="C224" s="30"/>
      <c r="D224" s="30"/>
      <c r="E224" s="30"/>
      <c r="F224" s="31"/>
      <c r="G224" s="30"/>
      <c r="H224" s="5"/>
      <c r="I224" s="1"/>
      <c r="J224" s="1"/>
      <c r="K224" s="4"/>
      <c r="L224" s="4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28"/>
      <c r="B225" s="1"/>
      <c r="C225" s="30"/>
      <c r="D225" s="30"/>
      <c r="E225" s="30"/>
      <c r="F225" s="31"/>
      <c r="G225" s="30"/>
      <c r="H225" s="5"/>
      <c r="I225" s="1"/>
      <c r="J225" s="1"/>
      <c r="K225" s="4"/>
      <c r="L225" s="4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28"/>
      <c r="B226" s="1"/>
      <c r="C226" s="30"/>
      <c r="D226" s="30"/>
      <c r="E226" s="30"/>
      <c r="F226" s="31"/>
      <c r="G226" s="30"/>
      <c r="H226" s="5"/>
      <c r="I226" s="1"/>
      <c r="J226" s="1"/>
      <c r="K226" s="4"/>
      <c r="L226" s="4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28"/>
      <c r="B227" s="1"/>
      <c r="C227" s="30"/>
      <c r="D227" s="30"/>
      <c r="E227" s="30"/>
      <c r="F227" s="31"/>
      <c r="G227" s="30"/>
      <c r="H227" s="5"/>
      <c r="I227" s="1"/>
      <c r="J227" s="1"/>
      <c r="K227" s="4"/>
      <c r="L227" s="4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28"/>
      <c r="B228" s="1"/>
      <c r="C228" s="30"/>
      <c r="D228" s="30"/>
      <c r="E228" s="30"/>
      <c r="F228" s="31"/>
      <c r="G228" s="30"/>
      <c r="H228" s="5"/>
      <c r="I228" s="1"/>
      <c r="J228" s="1"/>
      <c r="K228" s="4"/>
      <c r="L228" s="4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28"/>
      <c r="B229" s="1"/>
      <c r="C229" s="30"/>
      <c r="D229" s="30"/>
      <c r="E229" s="30"/>
      <c r="F229" s="31"/>
      <c r="G229" s="30"/>
      <c r="H229" s="5"/>
      <c r="I229" s="1"/>
      <c r="J229" s="1"/>
      <c r="K229" s="4"/>
      <c r="L229" s="4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28"/>
      <c r="B230" s="1"/>
      <c r="C230" s="30"/>
      <c r="D230" s="30"/>
      <c r="E230" s="30"/>
      <c r="F230" s="31"/>
      <c r="G230" s="30"/>
      <c r="H230" s="5"/>
      <c r="I230" s="1"/>
      <c r="J230" s="1"/>
      <c r="K230" s="4"/>
      <c r="L230" s="4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28"/>
      <c r="B231" s="1"/>
      <c r="C231" s="30"/>
      <c r="D231" s="30"/>
      <c r="E231" s="30"/>
      <c r="F231" s="31"/>
      <c r="G231" s="30"/>
      <c r="H231" s="5"/>
      <c r="I231" s="1"/>
      <c r="J231" s="1"/>
      <c r="K231" s="4"/>
      <c r="L231" s="4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28"/>
      <c r="B232" s="1"/>
      <c r="C232" s="30"/>
      <c r="D232" s="30"/>
      <c r="E232" s="30"/>
      <c r="F232" s="31"/>
      <c r="G232" s="30"/>
      <c r="H232" s="5"/>
      <c r="I232" s="1"/>
      <c r="J232" s="1"/>
      <c r="K232" s="4"/>
      <c r="L232" s="4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28"/>
      <c r="B233" s="1"/>
      <c r="C233" s="30"/>
      <c r="D233" s="30"/>
      <c r="E233" s="30"/>
      <c r="F233" s="31"/>
      <c r="G233" s="30"/>
      <c r="H233" s="5"/>
      <c r="I233" s="1"/>
      <c r="J233" s="1"/>
      <c r="K233" s="4"/>
      <c r="L233" s="4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</sheetData>
  <mergeCells count="10">
    <mergeCell ref="G1:H2"/>
    <mergeCell ref="I1:I2"/>
    <mergeCell ref="J1:J2"/>
    <mergeCell ref="K1:N1"/>
    <mergeCell ref="A3:A4"/>
    <mergeCell ref="A1:A2"/>
    <mergeCell ref="B1:B2"/>
    <mergeCell ref="C1:C2"/>
    <mergeCell ref="D1:D2"/>
    <mergeCell ref="E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9"/>
  <sheetViews>
    <sheetView workbookViewId="0">
      <selection activeCell="D25" sqref="D25"/>
    </sheetView>
  </sheetViews>
  <sheetFormatPr defaultColWidth="53.453125" defaultRowHeight="13.5"/>
  <cols>
    <col min="1" max="1" width="50" style="177" customWidth="1"/>
    <col min="2" max="2" width="45.1796875" style="78" customWidth="1"/>
    <col min="3" max="3" width="6.7265625" style="76" customWidth="1"/>
    <col min="4" max="4" width="15.1796875" style="76" customWidth="1"/>
    <col min="5" max="6" width="7.54296875" style="80" customWidth="1"/>
    <col min="7" max="7" width="11.7265625" style="76" customWidth="1"/>
    <col min="8" max="8" width="10.26953125" style="76" customWidth="1"/>
    <col min="9" max="9" width="13.81640625" style="76" customWidth="1"/>
    <col min="10" max="21" width="9.81640625" style="76" customWidth="1"/>
    <col min="22" max="22" width="12.26953125" style="82" customWidth="1"/>
    <col min="23" max="23" width="11.26953125" style="76" customWidth="1"/>
    <col min="24" max="24" width="9.453125" style="76" customWidth="1"/>
    <col min="25" max="25" width="6.1796875" style="76" customWidth="1"/>
    <col min="26" max="26" width="14.1796875" style="75" customWidth="1"/>
    <col min="27" max="27" width="2.54296875" style="76" customWidth="1"/>
    <col min="28" max="16384" width="53.453125" style="76"/>
  </cols>
  <sheetData>
    <row r="1" spans="1:26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</row>
    <row r="2" spans="1:26">
      <c r="A2" s="266" t="str">
        <f>[2]CBE!A2</f>
        <v xml:space="preserve">2024/25 Nine Month Scorecard 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</row>
    <row r="3" spans="1:26">
      <c r="A3" s="266" t="s">
        <v>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</row>
    <row r="4" spans="1:26">
      <c r="A4" s="77"/>
      <c r="C4" s="79"/>
      <c r="D4" s="79"/>
      <c r="G4" s="81"/>
      <c r="H4" s="81"/>
      <c r="I4" s="81"/>
      <c r="J4" s="81"/>
      <c r="K4" s="81">
        <v>10</v>
      </c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6" s="84" customFormat="1">
      <c r="A5" s="268" t="s">
        <v>2</v>
      </c>
      <c r="B5" s="268" t="s">
        <v>3</v>
      </c>
      <c r="C5" s="268" t="s">
        <v>5</v>
      </c>
      <c r="D5" s="269" t="s">
        <v>6</v>
      </c>
      <c r="E5" s="270"/>
      <c r="F5" s="269" t="s">
        <v>7</v>
      </c>
      <c r="G5" s="270"/>
      <c r="H5" s="274" t="s">
        <v>8</v>
      </c>
      <c r="I5" s="274" t="s">
        <v>9</v>
      </c>
      <c r="J5" s="279" t="s">
        <v>115</v>
      </c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1"/>
      <c r="V5" s="268" t="str">
        <f>[2]CBE!AA4</f>
        <v xml:space="preserve">2024/25 Nine Month Scorecard </v>
      </c>
      <c r="W5" s="268"/>
      <c r="X5" s="268"/>
      <c r="Y5" s="268"/>
    </row>
    <row r="6" spans="1:26" s="84" customFormat="1">
      <c r="A6" s="268"/>
      <c r="B6" s="268"/>
      <c r="C6" s="268"/>
      <c r="D6" s="271"/>
      <c r="E6" s="272"/>
      <c r="F6" s="273"/>
      <c r="G6" s="272"/>
      <c r="H6" s="275"/>
      <c r="I6" s="275"/>
      <c r="J6" s="83" t="s">
        <v>116</v>
      </c>
      <c r="K6" s="83" t="s">
        <v>117</v>
      </c>
      <c r="L6" s="83" t="s">
        <v>118</v>
      </c>
      <c r="M6" s="83" t="s">
        <v>119</v>
      </c>
      <c r="N6" s="83" t="s">
        <v>120</v>
      </c>
      <c r="O6" s="83" t="s">
        <v>121</v>
      </c>
      <c r="P6" s="83" t="s">
        <v>122</v>
      </c>
      <c r="Q6" s="83" t="s">
        <v>123</v>
      </c>
      <c r="R6" s="83" t="s">
        <v>124</v>
      </c>
      <c r="S6" s="83" t="s">
        <v>125</v>
      </c>
      <c r="T6" s="83" t="s">
        <v>126</v>
      </c>
      <c r="U6" s="83" t="s">
        <v>127</v>
      </c>
      <c r="V6" s="85" t="s">
        <v>10</v>
      </c>
      <c r="W6" s="83" t="s">
        <v>11</v>
      </c>
      <c r="X6" s="83" t="s">
        <v>12</v>
      </c>
      <c r="Y6" s="83" t="s">
        <v>13</v>
      </c>
    </row>
    <row r="7" spans="1:26" s="84" customFormat="1">
      <c r="A7" s="86" t="s">
        <v>128</v>
      </c>
      <c r="B7" s="87" t="s">
        <v>129</v>
      </c>
      <c r="C7" s="88">
        <v>15</v>
      </c>
      <c r="D7" s="89" t="s">
        <v>17</v>
      </c>
      <c r="E7" s="90">
        <v>0.5</v>
      </c>
      <c r="F7" s="90">
        <v>1</v>
      </c>
      <c r="G7" s="89" t="s">
        <v>130</v>
      </c>
      <c r="H7" s="91">
        <v>0.34436</v>
      </c>
      <c r="I7" s="91">
        <v>0.7</v>
      </c>
      <c r="J7" s="92">
        <v>0.36533095954668798</v>
      </c>
      <c r="K7" s="91">
        <v>0.38757901615548701</v>
      </c>
      <c r="L7" s="91">
        <v>0.41118194294414301</v>
      </c>
      <c r="M7" s="91">
        <v>0.43622224928579201</v>
      </c>
      <c r="N7" s="91">
        <v>0.46278746923914699</v>
      </c>
      <c r="O7" s="91">
        <v>0.490970467543619</v>
      </c>
      <c r="P7" s="91">
        <v>0.52086976424903098</v>
      </c>
      <c r="Q7" s="91">
        <v>0.55258987911474999</v>
      </c>
      <c r="R7" s="91">
        <v>0.58624169698216899</v>
      </c>
      <c r="S7" s="91">
        <v>0.62194285539776495</v>
      </c>
      <c r="T7" s="91">
        <v>0.622</v>
      </c>
      <c r="U7" s="91">
        <v>0.622</v>
      </c>
      <c r="V7" s="93">
        <f>967/1919</f>
        <v>0.50390828556539868</v>
      </c>
      <c r="W7" s="93">
        <v>0.7</v>
      </c>
      <c r="X7" s="94">
        <f>IFERROR(V7/W7,0)</f>
        <v>0.71986897937914107</v>
      </c>
      <c r="Y7" s="95">
        <f>IF(X7&gt;=E7,MIN((X7-E7)*(C7/(F7-E7)),C7),0)</f>
        <v>6.5960693813742317</v>
      </c>
    </row>
    <row r="8" spans="1:26" s="75" customFormat="1">
      <c r="A8" s="282" t="s">
        <v>131</v>
      </c>
      <c r="B8" s="87" t="s">
        <v>132</v>
      </c>
      <c r="C8" s="88">
        <v>5</v>
      </c>
      <c r="D8" s="89" t="s">
        <v>17</v>
      </c>
      <c r="E8" s="90">
        <v>0.5</v>
      </c>
      <c r="F8" s="90">
        <v>1</v>
      </c>
      <c r="G8" s="89" t="s">
        <v>130</v>
      </c>
      <c r="H8" s="96">
        <v>32</v>
      </c>
      <c r="I8" s="97">
        <v>100.515371403773</v>
      </c>
      <c r="J8" s="98">
        <v>3.96919873249771</v>
      </c>
      <c r="K8" s="98">
        <v>4.8422760025825298</v>
      </c>
      <c r="L8" s="98">
        <v>5.7324558133067098</v>
      </c>
      <c r="M8" s="98">
        <v>9.5090604733503508</v>
      </c>
      <c r="N8" s="98">
        <v>10.430203859638</v>
      </c>
      <c r="O8" s="98">
        <v>9.8811052664391301</v>
      </c>
      <c r="P8" s="98">
        <v>11.5310567202438</v>
      </c>
      <c r="Q8" s="98">
        <v>11.158822046477299</v>
      </c>
      <c r="R8" s="98">
        <v>12.5880004015161</v>
      </c>
      <c r="S8" s="98">
        <v>6.89644288303798</v>
      </c>
      <c r="T8" s="98">
        <v>7.6273785898444402</v>
      </c>
      <c r="U8" s="99">
        <v>6.34937061483891</v>
      </c>
      <c r="V8" s="100">
        <v>190167</v>
      </c>
      <c r="W8" s="100">
        <v>100515</v>
      </c>
      <c r="X8" s="94">
        <f t="shared" ref="X8:X41" si="0">IFERROR(V8/W8,0)</f>
        <v>1.8919265781226682</v>
      </c>
      <c r="Y8" s="95">
        <f t="shared" ref="Y8:Y41" si="1">IF(X8&gt;=E8,MIN((X8-E8)*(C8/(F8-E8)),C8),0)</f>
        <v>5</v>
      </c>
      <c r="Z8" s="101"/>
    </row>
    <row r="9" spans="1:26" s="75" customFormat="1">
      <c r="A9" s="282"/>
      <c r="B9" s="87" t="s">
        <v>133</v>
      </c>
      <c r="C9" s="102">
        <v>4</v>
      </c>
      <c r="D9" s="89" t="s">
        <v>17</v>
      </c>
      <c r="E9" s="90">
        <v>0.5</v>
      </c>
      <c r="F9" s="90">
        <v>1</v>
      </c>
      <c r="G9" s="89" t="s">
        <v>130</v>
      </c>
      <c r="H9" s="96">
        <v>63</v>
      </c>
      <c r="I9" s="97">
        <f t="shared" ref="I9:I17" si="2">SUM(J9:U9)</f>
        <v>130.32935863892669</v>
      </c>
      <c r="J9" s="98">
        <v>3.7620416442470099</v>
      </c>
      <c r="K9" s="98">
        <v>3.7373675908727302</v>
      </c>
      <c r="L9" s="98">
        <v>5.9597943254968504</v>
      </c>
      <c r="M9" s="98">
        <v>14.599223488841099</v>
      </c>
      <c r="N9" s="98">
        <v>19.078947159599998</v>
      </c>
      <c r="O9" s="98">
        <v>12.322453187451799</v>
      </c>
      <c r="P9" s="98">
        <v>13.754790025689299</v>
      </c>
      <c r="Q9" s="98">
        <v>14.5634030023405</v>
      </c>
      <c r="R9" s="98">
        <v>11.7944426552667</v>
      </c>
      <c r="S9" s="98">
        <v>10.886680678185099</v>
      </c>
      <c r="T9" s="98">
        <v>9.1660559063251306</v>
      </c>
      <c r="U9" s="99">
        <v>10.7041589746105</v>
      </c>
      <c r="V9" s="100">
        <v>248608</v>
      </c>
      <c r="W9" s="100">
        <v>130329</v>
      </c>
      <c r="X9" s="94">
        <f t="shared" si="0"/>
        <v>1.9075416829715566</v>
      </c>
      <c r="Y9" s="95">
        <f t="shared" si="1"/>
        <v>4</v>
      </c>
      <c r="Z9" s="101"/>
    </row>
    <row r="10" spans="1:26" s="103" customFormat="1">
      <c r="A10" s="282"/>
      <c r="B10" s="87" t="s">
        <v>134</v>
      </c>
      <c r="C10" s="88">
        <v>4</v>
      </c>
      <c r="D10" s="89" t="s">
        <v>17</v>
      </c>
      <c r="E10" s="90">
        <v>0.5</v>
      </c>
      <c r="F10" s="90">
        <v>1</v>
      </c>
      <c r="G10" s="89" t="s">
        <v>130</v>
      </c>
      <c r="H10" s="96">
        <v>26</v>
      </c>
      <c r="I10" s="97">
        <f t="shared" si="2"/>
        <v>60.200158823149998</v>
      </c>
      <c r="J10" s="98">
        <v>1.9470363293658199</v>
      </c>
      <c r="K10" s="98">
        <v>2.1928015966054502</v>
      </c>
      <c r="L10" s="98">
        <v>2.53801188428959</v>
      </c>
      <c r="M10" s="98">
        <v>5.9214737952909502</v>
      </c>
      <c r="N10" s="98">
        <v>6.40414323365823</v>
      </c>
      <c r="O10" s="98">
        <v>6.3919354916198197</v>
      </c>
      <c r="P10" s="98">
        <v>7.2952787853969498</v>
      </c>
      <c r="Q10" s="98">
        <v>7.1458295875414199</v>
      </c>
      <c r="R10" s="98">
        <v>7.5867597635144</v>
      </c>
      <c r="S10" s="98">
        <v>4.1472917663658802</v>
      </c>
      <c r="T10" s="98">
        <v>4.6875581580973602</v>
      </c>
      <c r="U10" s="99">
        <v>3.9420384314041201</v>
      </c>
      <c r="V10" s="100">
        <v>76725</v>
      </c>
      <c r="W10" s="100">
        <v>60200</v>
      </c>
      <c r="X10" s="94">
        <f t="shared" si="0"/>
        <v>1.2745016611295681</v>
      </c>
      <c r="Y10" s="95">
        <f t="shared" si="1"/>
        <v>4</v>
      </c>
      <c r="Z10" s="101"/>
    </row>
    <row r="11" spans="1:26" s="75" customFormat="1" ht="39">
      <c r="A11" s="282"/>
      <c r="B11" s="104" t="s">
        <v>135</v>
      </c>
      <c r="C11" s="88">
        <v>4</v>
      </c>
      <c r="D11" s="89" t="s">
        <v>17</v>
      </c>
      <c r="E11" s="90">
        <v>0.5</v>
      </c>
      <c r="F11" s="90">
        <v>1</v>
      </c>
      <c r="G11" s="89" t="s">
        <v>130</v>
      </c>
      <c r="H11" s="96">
        <v>4</v>
      </c>
      <c r="I11" s="97">
        <f t="shared" si="2"/>
        <v>2.0103074280754591</v>
      </c>
      <c r="J11" s="98">
        <f>0.02*J8</f>
        <v>7.9383974649954198E-2</v>
      </c>
      <c r="K11" s="98">
        <f t="shared" ref="K11:U11" si="3">0.02*K8</f>
        <v>9.6845520051650591E-2</v>
      </c>
      <c r="L11" s="98">
        <f t="shared" si="3"/>
        <v>0.11464911626613419</v>
      </c>
      <c r="M11" s="98">
        <f t="shared" si="3"/>
        <v>0.19018120946700701</v>
      </c>
      <c r="N11" s="98">
        <f t="shared" si="3"/>
        <v>0.20860407719276</v>
      </c>
      <c r="O11" s="98">
        <f t="shared" si="3"/>
        <v>0.1976221053287826</v>
      </c>
      <c r="P11" s="98">
        <f t="shared" si="3"/>
        <v>0.230621134404876</v>
      </c>
      <c r="Q11" s="98">
        <f t="shared" si="3"/>
        <v>0.223176440929546</v>
      </c>
      <c r="R11" s="98">
        <f t="shared" si="3"/>
        <v>0.251760008030322</v>
      </c>
      <c r="S11" s="98">
        <f t="shared" si="3"/>
        <v>0.1379288576607596</v>
      </c>
      <c r="T11" s="98">
        <f t="shared" si="3"/>
        <v>0.1525475717968888</v>
      </c>
      <c r="U11" s="99">
        <f t="shared" si="3"/>
        <v>0.12698741229677821</v>
      </c>
      <c r="V11" s="105">
        <v>539.24864400999195</v>
      </c>
      <c r="W11" s="100">
        <v>5820.8977773281804</v>
      </c>
      <c r="X11" s="94">
        <f t="shared" si="0"/>
        <v>9.2640115775664694E-2</v>
      </c>
      <c r="Y11" s="95">
        <f t="shared" si="1"/>
        <v>0</v>
      </c>
      <c r="Z11" s="101"/>
    </row>
    <row r="12" spans="1:26" s="75" customFormat="1" ht="26">
      <c r="A12" s="282"/>
      <c r="B12" s="104" t="s">
        <v>136</v>
      </c>
      <c r="C12" s="88">
        <v>4</v>
      </c>
      <c r="D12" s="89" t="s">
        <v>17</v>
      </c>
      <c r="E12" s="90">
        <v>0.5</v>
      </c>
      <c r="F12" s="90">
        <v>1</v>
      </c>
      <c r="G12" s="89" t="s">
        <v>130</v>
      </c>
      <c r="H12" s="96">
        <v>482</v>
      </c>
      <c r="I12" s="97">
        <f t="shared" si="2"/>
        <v>22.897067228901548</v>
      </c>
      <c r="J12" s="98">
        <f>(0.15*J8)+(0.06*J9)</f>
        <v>0.82110230852947708</v>
      </c>
      <c r="K12" s="98">
        <f t="shared" ref="K12:U12" si="4">(0.15*K8)+(0.06*K9)</f>
        <v>0.95058345583974324</v>
      </c>
      <c r="L12" s="98">
        <f t="shared" si="4"/>
        <v>1.2174560315258174</v>
      </c>
      <c r="M12" s="98">
        <f t="shared" si="4"/>
        <v>2.3023124803330184</v>
      </c>
      <c r="N12" s="98">
        <f t="shared" si="4"/>
        <v>2.7092674085216997</v>
      </c>
      <c r="O12" s="98">
        <f t="shared" si="4"/>
        <v>2.2215129812129772</v>
      </c>
      <c r="P12" s="98">
        <f t="shared" si="4"/>
        <v>2.5549459095779281</v>
      </c>
      <c r="Q12" s="98">
        <f t="shared" si="4"/>
        <v>2.5476274871120248</v>
      </c>
      <c r="R12" s="98">
        <f t="shared" si="4"/>
        <v>2.595866619543417</v>
      </c>
      <c r="S12" s="98">
        <f t="shared" si="4"/>
        <v>1.6876672731468028</v>
      </c>
      <c r="T12" s="98">
        <f t="shared" si="4"/>
        <v>1.694070142856174</v>
      </c>
      <c r="U12" s="99">
        <f t="shared" si="4"/>
        <v>1.5946551307024666</v>
      </c>
      <c r="V12" s="100">
        <v>131999.21484119401</v>
      </c>
      <c r="W12" s="100">
        <v>61119.426661945901</v>
      </c>
      <c r="X12" s="94">
        <f t="shared" si="0"/>
        <v>2.1596932767594037</v>
      </c>
      <c r="Y12" s="95">
        <f t="shared" si="1"/>
        <v>4</v>
      </c>
      <c r="Z12" s="101"/>
    </row>
    <row r="13" spans="1:26" s="75" customFormat="1" ht="39.5">
      <c r="A13" s="282"/>
      <c r="B13" s="104" t="s">
        <v>137</v>
      </c>
      <c r="C13" s="88">
        <v>4</v>
      </c>
      <c r="D13" s="89" t="s">
        <v>17</v>
      </c>
      <c r="E13" s="90">
        <v>0.5</v>
      </c>
      <c r="F13" s="90">
        <v>1</v>
      </c>
      <c r="G13" s="89" t="s">
        <v>130</v>
      </c>
      <c r="H13" s="96">
        <v>326</v>
      </c>
      <c r="I13" s="97">
        <f t="shared" si="2"/>
        <v>55.70087508259946</v>
      </c>
      <c r="J13" s="98">
        <f>(0.23*J8)+(0.25*J9)</f>
        <v>1.8534261195362258</v>
      </c>
      <c r="K13" s="98">
        <f t="shared" ref="K13:U13" si="5">(0.23*K8)+(0.25*K9)</f>
        <v>2.0480653783121645</v>
      </c>
      <c r="L13" s="98">
        <f t="shared" si="5"/>
        <v>2.808413418434756</v>
      </c>
      <c r="M13" s="98">
        <f t="shared" si="5"/>
        <v>5.8368897810808562</v>
      </c>
      <c r="N13" s="98">
        <f t="shared" si="5"/>
        <v>7.1686836776167393</v>
      </c>
      <c r="O13" s="98">
        <f t="shared" si="5"/>
        <v>5.3532675081439498</v>
      </c>
      <c r="P13" s="98">
        <f t="shared" si="5"/>
        <v>6.090840552078399</v>
      </c>
      <c r="Q13" s="98">
        <f t="shared" si="5"/>
        <v>6.2073798212749036</v>
      </c>
      <c r="R13" s="98">
        <f t="shared" si="5"/>
        <v>5.8438507561653781</v>
      </c>
      <c r="S13" s="98">
        <f t="shared" si="5"/>
        <v>4.3078520326450107</v>
      </c>
      <c r="T13" s="98">
        <f t="shared" si="5"/>
        <v>4.0458110522455044</v>
      </c>
      <c r="U13" s="99">
        <f t="shared" si="5"/>
        <v>4.1363949850655741</v>
      </c>
      <c r="V13" s="100">
        <v>187170.60601121199</v>
      </c>
      <c r="W13" s="100">
        <v>139701.54665587601</v>
      </c>
      <c r="X13" s="94">
        <f t="shared" si="0"/>
        <v>1.339789075293959</v>
      </c>
      <c r="Y13" s="95">
        <f t="shared" si="1"/>
        <v>4</v>
      </c>
      <c r="Z13" s="101"/>
    </row>
    <row r="14" spans="1:26" s="106" customFormat="1" ht="39">
      <c r="A14" s="282"/>
      <c r="B14" s="104" t="s">
        <v>138</v>
      </c>
      <c r="C14" s="88">
        <v>4</v>
      </c>
      <c r="D14" s="89" t="s">
        <v>17</v>
      </c>
      <c r="E14" s="90">
        <v>0.5</v>
      </c>
      <c r="F14" s="90">
        <v>1</v>
      </c>
      <c r="G14" s="89" t="s">
        <v>130</v>
      </c>
      <c r="H14" s="96">
        <v>361</v>
      </c>
      <c r="I14" s="97">
        <f t="shared" si="2"/>
        <v>29.149457707094161</v>
      </c>
      <c r="J14" s="98">
        <f t="shared" ref="J14:U14" si="6">0.29*J8</f>
        <v>1.1510676324243359</v>
      </c>
      <c r="K14" s="98">
        <f t="shared" si="6"/>
        <v>1.4042600407489336</v>
      </c>
      <c r="L14" s="98">
        <f t="shared" si="6"/>
        <v>1.6624121858589458</v>
      </c>
      <c r="M14" s="98">
        <f t="shared" si="6"/>
        <v>2.7576275372716017</v>
      </c>
      <c r="N14" s="98">
        <f t="shared" si="6"/>
        <v>3.0247591192950201</v>
      </c>
      <c r="O14" s="98">
        <f t="shared" si="6"/>
        <v>2.8655205272673476</v>
      </c>
      <c r="P14" s="98">
        <f t="shared" si="6"/>
        <v>3.3440064488707018</v>
      </c>
      <c r="Q14" s="98">
        <f t="shared" si="6"/>
        <v>3.2360583934784164</v>
      </c>
      <c r="R14" s="98">
        <f t="shared" si="6"/>
        <v>3.6505201164396688</v>
      </c>
      <c r="S14" s="98">
        <f t="shared" si="6"/>
        <v>1.9999684360810142</v>
      </c>
      <c r="T14" s="98">
        <f t="shared" si="6"/>
        <v>2.2119397910548875</v>
      </c>
      <c r="U14" s="99">
        <f t="shared" si="6"/>
        <v>1.8413174783032837</v>
      </c>
      <c r="V14" s="100">
        <v>195991.14660419899</v>
      </c>
      <c r="W14" s="100">
        <v>84403.017771258601</v>
      </c>
      <c r="X14" s="94">
        <f t="shared" si="0"/>
        <v>2.3220869558877197</v>
      </c>
      <c r="Y14" s="95">
        <f t="shared" si="1"/>
        <v>4</v>
      </c>
      <c r="Z14" s="101"/>
    </row>
    <row r="15" spans="1:26" s="75" customFormat="1">
      <c r="A15" s="282"/>
      <c r="B15" s="87" t="s">
        <v>139</v>
      </c>
      <c r="C15" s="88">
        <v>15</v>
      </c>
      <c r="D15" s="89" t="s">
        <v>17</v>
      </c>
      <c r="E15" s="90">
        <v>0.5</v>
      </c>
      <c r="F15" s="90">
        <v>1</v>
      </c>
      <c r="G15" s="89" t="s">
        <v>130</v>
      </c>
      <c r="H15" s="96">
        <f>3.2*1000</f>
        <v>3200</v>
      </c>
      <c r="I15" s="107">
        <f t="shared" si="2"/>
        <v>1699.0163872716789</v>
      </c>
      <c r="J15" s="98">
        <v>113.895223364347</v>
      </c>
      <c r="K15" s="98">
        <v>115.51324461345401</v>
      </c>
      <c r="L15" s="98">
        <v>115.07117094772001</v>
      </c>
      <c r="M15" s="98">
        <v>148.02912113754999</v>
      </c>
      <c r="N15" s="98">
        <v>147.11882433907101</v>
      </c>
      <c r="O15" s="98">
        <v>153.78579813169699</v>
      </c>
      <c r="P15" s="98">
        <v>150.75199004022301</v>
      </c>
      <c r="Q15" s="98">
        <v>147.81798519785099</v>
      </c>
      <c r="R15" s="98">
        <v>153.473038795371</v>
      </c>
      <c r="S15" s="98">
        <v>148.52233847583599</v>
      </c>
      <c r="T15" s="98">
        <v>151.08049717429</v>
      </c>
      <c r="U15" s="99">
        <v>153.95715505426901</v>
      </c>
      <c r="V15" s="95">
        <v>3709.5</v>
      </c>
      <c r="W15" s="108">
        <v>5022.5238978530397</v>
      </c>
      <c r="X15" s="94">
        <f t="shared" si="0"/>
        <v>0.73857289192505116</v>
      </c>
      <c r="Y15" s="95">
        <f t="shared" si="1"/>
        <v>7.1571867577515347</v>
      </c>
      <c r="Z15" s="101"/>
    </row>
    <row r="16" spans="1:26" s="103" customFormat="1">
      <c r="A16" s="282"/>
      <c r="B16" s="87" t="s">
        <v>140</v>
      </c>
      <c r="C16" s="88">
        <v>3</v>
      </c>
      <c r="D16" s="89" t="s">
        <v>17</v>
      </c>
      <c r="E16" s="90">
        <v>0.5</v>
      </c>
      <c r="F16" s="90">
        <v>1</v>
      </c>
      <c r="G16" s="89" t="s">
        <v>130</v>
      </c>
      <c r="H16" s="96">
        <v>154.9</v>
      </c>
      <c r="I16" s="109">
        <f t="shared" si="2"/>
        <v>248.50105701346564</v>
      </c>
      <c r="J16" s="98">
        <v>26.4544597785811</v>
      </c>
      <c r="K16" s="98">
        <v>13.877854995764</v>
      </c>
      <c r="L16" s="98">
        <v>17.491273867700802</v>
      </c>
      <c r="M16" s="98">
        <v>7.4115134164052101</v>
      </c>
      <c r="N16" s="98">
        <v>10.6701892121143</v>
      </c>
      <c r="O16" s="98">
        <v>36.676744809014799</v>
      </c>
      <c r="P16" s="98">
        <v>9.4001510115665301</v>
      </c>
      <c r="Q16" s="98">
        <v>16.1449806331538</v>
      </c>
      <c r="R16" s="98">
        <v>20.7604803674549</v>
      </c>
      <c r="S16" s="98">
        <v>20.3659945152658</v>
      </c>
      <c r="T16" s="98">
        <v>22.443146058720799</v>
      </c>
      <c r="U16" s="99">
        <v>46.8042683477236</v>
      </c>
      <c r="V16" s="100">
        <v>56588</v>
      </c>
      <c r="W16" s="100">
        <v>41961</v>
      </c>
      <c r="X16" s="94">
        <f t="shared" si="0"/>
        <v>1.3485855913824742</v>
      </c>
      <c r="Y16" s="95">
        <f t="shared" si="1"/>
        <v>3</v>
      </c>
      <c r="Z16" s="101"/>
    </row>
    <row r="17" spans="1:26" s="103" customFormat="1">
      <c r="A17" s="86" t="s">
        <v>28</v>
      </c>
      <c r="B17" s="110" t="s">
        <v>141</v>
      </c>
      <c r="C17" s="88">
        <v>3</v>
      </c>
      <c r="D17" s="89" t="s">
        <v>17</v>
      </c>
      <c r="E17" s="90">
        <v>0.5</v>
      </c>
      <c r="F17" s="90">
        <v>1</v>
      </c>
      <c r="G17" s="89" t="s">
        <v>18</v>
      </c>
      <c r="H17" s="96">
        <v>173.6</v>
      </c>
      <c r="I17" s="109">
        <f t="shared" si="2"/>
        <v>206.2999999999999</v>
      </c>
      <c r="J17" s="98">
        <v>18.597074780298399</v>
      </c>
      <c r="K17" s="98">
        <v>23.6488729971434</v>
      </c>
      <c r="L17" s="98">
        <v>18.792316606166001</v>
      </c>
      <c r="M17" s="98">
        <v>12.8769639952658</v>
      </c>
      <c r="N17" s="98">
        <v>12.9291639690158</v>
      </c>
      <c r="O17" s="98">
        <v>19.5805762441755</v>
      </c>
      <c r="P17" s="98">
        <v>30.946646778020501</v>
      </c>
      <c r="Q17" s="98">
        <v>15.721011562072</v>
      </c>
      <c r="R17" s="98">
        <v>17.8747430552949</v>
      </c>
      <c r="S17" s="98">
        <v>9.9539871291928996</v>
      </c>
      <c r="T17" s="98">
        <v>15.3162511409255</v>
      </c>
      <c r="U17" s="99">
        <v>10.062391742429201</v>
      </c>
      <c r="V17" s="100">
        <v>94870</v>
      </c>
      <c r="W17" s="100">
        <v>112250</v>
      </c>
      <c r="X17" s="94">
        <f t="shared" si="0"/>
        <v>0.84516703786191538</v>
      </c>
      <c r="Y17" s="95">
        <f t="shared" si="1"/>
        <v>2.0710022271714923</v>
      </c>
      <c r="Z17" s="101"/>
    </row>
    <row r="18" spans="1:26" s="75" customFormat="1">
      <c r="A18" s="282" t="s">
        <v>142</v>
      </c>
      <c r="B18" s="110" t="s">
        <v>143</v>
      </c>
      <c r="C18" s="88">
        <v>2</v>
      </c>
      <c r="D18" s="89" t="s">
        <v>17</v>
      </c>
      <c r="E18" s="90">
        <v>0.5</v>
      </c>
      <c r="F18" s="90">
        <v>1</v>
      </c>
      <c r="G18" s="89" t="s">
        <v>18</v>
      </c>
      <c r="H18" s="111">
        <v>3.1E-2</v>
      </c>
      <c r="I18" s="90">
        <v>3.2000000000000001E-2</v>
      </c>
      <c r="J18" s="112">
        <v>3.5325431994145298E-2</v>
      </c>
      <c r="K18" s="112">
        <v>3.4895708414063899E-2</v>
      </c>
      <c r="L18" s="112">
        <v>3.1681650298436101E-2</v>
      </c>
      <c r="M18" s="112">
        <v>3.1559143165006298E-2</v>
      </c>
      <c r="N18" s="112">
        <v>3.1692007486298003E-2</v>
      </c>
      <c r="O18" s="112">
        <v>3.1646398742303197E-2</v>
      </c>
      <c r="P18" s="112">
        <v>3.1177722479152199E-2</v>
      </c>
      <c r="Q18" s="112">
        <v>3.16142031899634E-2</v>
      </c>
      <c r="R18" s="112">
        <v>3.1774604828383901E-2</v>
      </c>
      <c r="S18" s="112">
        <v>3.3192904166456802E-2</v>
      </c>
      <c r="T18" s="112">
        <v>3.4586575264340599E-2</v>
      </c>
      <c r="U18" s="112">
        <v>3.4048561662864602E-2</v>
      </c>
      <c r="V18" s="113">
        <v>0.01</v>
      </c>
      <c r="W18" s="93">
        <v>3.4000000000000002E-2</v>
      </c>
      <c r="X18" s="94">
        <f>IFERROR(W18/V18,0)</f>
        <v>3.4000000000000004</v>
      </c>
      <c r="Y18" s="95">
        <f t="shared" si="1"/>
        <v>2</v>
      </c>
      <c r="Z18" s="114" t="s">
        <v>144</v>
      </c>
    </row>
    <row r="19" spans="1:26" s="75" customFormat="1">
      <c r="A19" s="282"/>
      <c r="B19" s="104" t="s">
        <v>145</v>
      </c>
      <c r="C19" s="115">
        <v>1</v>
      </c>
      <c r="D19" s="89" t="s">
        <v>17</v>
      </c>
      <c r="E19" s="90">
        <v>0.5</v>
      </c>
      <c r="F19" s="90">
        <v>1</v>
      </c>
      <c r="G19" s="89" t="s">
        <v>18</v>
      </c>
      <c r="H19" s="116" t="s">
        <v>146</v>
      </c>
      <c r="I19" s="116" t="s">
        <v>146</v>
      </c>
      <c r="J19" s="116" t="s">
        <v>146</v>
      </c>
      <c r="K19" s="116" t="s">
        <v>146</v>
      </c>
      <c r="L19" s="116" t="s">
        <v>146</v>
      </c>
      <c r="M19" s="116" t="s">
        <v>146</v>
      </c>
      <c r="N19" s="116" t="s">
        <v>146</v>
      </c>
      <c r="O19" s="116" t="s">
        <v>146</v>
      </c>
      <c r="P19" s="116" t="s">
        <v>146</v>
      </c>
      <c r="Q19" s="116" t="s">
        <v>146</v>
      </c>
      <c r="R19" s="116" t="s">
        <v>146</v>
      </c>
      <c r="S19" s="116" t="s">
        <v>146</v>
      </c>
      <c r="T19" s="116" t="s">
        <v>146</v>
      </c>
      <c r="U19" s="116" t="s">
        <v>146</v>
      </c>
      <c r="V19" s="94">
        <v>0.09</v>
      </c>
      <c r="W19" s="100" t="str">
        <f>U19</f>
        <v>≤2.5%</v>
      </c>
      <c r="X19" s="117">
        <f>IF(V19=0,1,IF(V19="",0,IFERROR(W19/V19,0)))</f>
        <v>0</v>
      </c>
      <c r="Y19" s="95">
        <f>IF(X19&gt;=1,C19,0)</f>
        <v>0</v>
      </c>
      <c r="Z19" s="114" t="s">
        <v>144</v>
      </c>
    </row>
    <row r="20" spans="1:26" s="75" customFormat="1" ht="26.5">
      <c r="A20" s="118" t="s">
        <v>37</v>
      </c>
      <c r="B20" s="119" t="s">
        <v>147</v>
      </c>
      <c r="C20" s="115">
        <v>10</v>
      </c>
      <c r="D20" s="89" t="s">
        <v>39</v>
      </c>
      <c r="E20" s="120">
        <v>1.02</v>
      </c>
      <c r="F20" s="121">
        <v>0.95</v>
      </c>
      <c r="G20" s="89" t="s">
        <v>39</v>
      </c>
      <c r="H20" s="116"/>
      <c r="I20" s="122">
        <v>341873982.48717898</v>
      </c>
      <c r="J20" s="123">
        <v>28655.115637942701</v>
      </c>
      <c r="K20" s="123">
        <v>28603.279598909201</v>
      </c>
      <c r="L20" s="123">
        <v>28603.4461298932</v>
      </c>
      <c r="M20" s="123">
        <v>28606.354129337898</v>
      </c>
      <c r="N20" s="123">
        <v>28601.7918865137</v>
      </c>
      <c r="O20" s="123">
        <v>28600.929151115</v>
      </c>
      <c r="P20" s="123">
        <v>28370.972395824399</v>
      </c>
      <c r="Q20" s="123">
        <v>28363.070242391401</v>
      </c>
      <c r="R20" s="123">
        <v>28368.538601404402</v>
      </c>
      <c r="S20" s="123">
        <v>28367.9025678043</v>
      </c>
      <c r="T20" s="123">
        <v>28367.710986494902</v>
      </c>
      <c r="U20" s="123">
        <v>28364.871159548198</v>
      </c>
      <c r="V20" s="100">
        <f>2665782197.86/1000</f>
        <v>2665782.1978600002</v>
      </c>
      <c r="W20" s="100">
        <f>2550579279.75789/1000</f>
        <v>2550579.2797578904</v>
      </c>
      <c r="X20" s="94">
        <f>IFERROR(V20/W20,0)</f>
        <v>1.0451673543404012</v>
      </c>
      <c r="Y20" s="95">
        <f>IF(V20=0,"-",IF(X20&lt;=E20,MIN(MAX((E20-X20)*(C20/(E20-F20)),0),C20),0))</f>
        <v>0</v>
      </c>
      <c r="Z20" s="114" t="s">
        <v>148</v>
      </c>
    </row>
    <row r="21" spans="1:26" s="75" customFormat="1" ht="26">
      <c r="A21" s="282" t="s">
        <v>19</v>
      </c>
      <c r="B21" s="104" t="s">
        <v>149</v>
      </c>
      <c r="C21" s="115">
        <v>1</v>
      </c>
      <c r="D21" s="89" t="s">
        <v>17</v>
      </c>
      <c r="E21" s="90">
        <v>0.5</v>
      </c>
      <c r="F21" s="90">
        <v>1</v>
      </c>
      <c r="G21" s="124" t="s">
        <v>18</v>
      </c>
      <c r="H21" s="116">
        <v>14.4</v>
      </c>
      <c r="I21" s="116">
        <v>4.3</v>
      </c>
      <c r="J21" s="125">
        <f>J11*0.3</f>
        <v>2.3815192394986258E-2</v>
      </c>
      <c r="K21" s="125">
        <f t="shared" ref="K21:U21" si="7">K11*0.3</f>
        <v>2.9053656015495175E-2</v>
      </c>
      <c r="L21" s="125">
        <f t="shared" si="7"/>
        <v>3.4394734879840259E-2</v>
      </c>
      <c r="M21" s="125">
        <f t="shared" si="7"/>
        <v>5.7054362840102096E-2</v>
      </c>
      <c r="N21" s="125">
        <f t="shared" si="7"/>
        <v>6.2581223157827992E-2</v>
      </c>
      <c r="O21" s="125">
        <f t="shared" si="7"/>
        <v>5.928663159863478E-2</v>
      </c>
      <c r="P21" s="125">
        <f t="shared" si="7"/>
        <v>6.91863403214628E-2</v>
      </c>
      <c r="Q21" s="125">
        <f t="shared" si="7"/>
        <v>6.69529322788638E-2</v>
      </c>
      <c r="R21" s="125">
        <f t="shared" si="7"/>
        <v>7.5528002409096601E-2</v>
      </c>
      <c r="S21" s="125">
        <f t="shared" si="7"/>
        <v>4.1378657298227879E-2</v>
      </c>
      <c r="T21" s="125">
        <f t="shared" si="7"/>
        <v>4.5764271539066641E-2</v>
      </c>
      <c r="U21" s="125">
        <f t="shared" si="7"/>
        <v>3.8096223689033461E-2</v>
      </c>
      <c r="V21" s="100">
        <v>2389149</v>
      </c>
      <c r="W21" s="100">
        <v>4311867.9000000004</v>
      </c>
      <c r="X21" s="94">
        <f t="shared" si="0"/>
        <v>0.55408677988488464</v>
      </c>
      <c r="Y21" s="95">
        <f t="shared" si="1"/>
        <v>0.10817355976976928</v>
      </c>
      <c r="Z21" s="101"/>
    </row>
    <row r="22" spans="1:26" s="75" customFormat="1" ht="26">
      <c r="A22" s="282"/>
      <c r="B22" s="104" t="s">
        <v>150</v>
      </c>
      <c r="C22" s="115">
        <v>1</v>
      </c>
      <c r="D22" s="89" t="s">
        <v>17</v>
      </c>
      <c r="E22" s="90">
        <v>0.5</v>
      </c>
      <c r="F22" s="90">
        <v>1</v>
      </c>
      <c r="G22" s="124" t="s">
        <v>18</v>
      </c>
      <c r="H22" s="116">
        <v>11.6</v>
      </c>
      <c r="I22" s="116">
        <v>213.4</v>
      </c>
      <c r="J22" s="125">
        <v>17.764078708333301</v>
      </c>
      <c r="K22" s="125">
        <v>17.764078708333301</v>
      </c>
      <c r="L22" s="125">
        <v>17.764078708333301</v>
      </c>
      <c r="M22" s="125">
        <v>17.764078708333301</v>
      </c>
      <c r="N22" s="125">
        <v>17.764078708333301</v>
      </c>
      <c r="O22" s="125">
        <v>17.764078708333301</v>
      </c>
      <c r="P22" s="125">
        <v>17.764078708333301</v>
      </c>
      <c r="Q22" s="125">
        <v>17.764078708333301</v>
      </c>
      <c r="R22" s="125">
        <v>17.764078708333301</v>
      </c>
      <c r="S22" s="125">
        <v>17.764078708333301</v>
      </c>
      <c r="T22" s="125">
        <v>17.764078708333301</v>
      </c>
      <c r="U22" s="125">
        <v>17.764078708333301</v>
      </c>
      <c r="V22" s="100">
        <v>77079</v>
      </c>
      <c r="W22" s="100">
        <v>4071640.3</v>
      </c>
      <c r="X22" s="94">
        <f t="shared" si="0"/>
        <v>1.8930699747715926E-2</v>
      </c>
      <c r="Y22" s="95">
        <f t="shared" si="1"/>
        <v>0</v>
      </c>
      <c r="Z22" s="101"/>
    </row>
    <row r="23" spans="1:26" s="75" customFormat="1" ht="26">
      <c r="A23" s="282"/>
      <c r="B23" s="104" t="s">
        <v>151</v>
      </c>
      <c r="C23" s="115">
        <v>1</v>
      </c>
      <c r="D23" s="89" t="s">
        <v>17</v>
      </c>
      <c r="E23" s="90">
        <v>0.5</v>
      </c>
      <c r="F23" s="90">
        <v>1</v>
      </c>
      <c r="G23" s="124" t="s">
        <v>18</v>
      </c>
      <c r="H23" s="116">
        <f>(5.01*1000)+103</f>
        <v>5113</v>
      </c>
      <c r="I23" s="126">
        <v>253</v>
      </c>
      <c r="J23" s="125">
        <v>21.0625</v>
      </c>
      <c r="K23" s="125">
        <v>21.0625</v>
      </c>
      <c r="L23" s="125">
        <v>21.0625</v>
      </c>
      <c r="M23" s="125">
        <v>21.0625</v>
      </c>
      <c r="N23" s="125">
        <v>21.0625</v>
      </c>
      <c r="O23" s="125">
        <v>21.0625</v>
      </c>
      <c r="P23" s="125">
        <v>21.0625</v>
      </c>
      <c r="Q23" s="125">
        <v>21.0625</v>
      </c>
      <c r="R23" s="125">
        <v>21.0625</v>
      </c>
      <c r="S23" s="125">
        <v>21.0625</v>
      </c>
      <c r="T23" s="125">
        <v>21.0625</v>
      </c>
      <c r="U23" s="125">
        <v>21.0625</v>
      </c>
      <c r="V23" s="100">
        <v>569</v>
      </c>
      <c r="W23" s="100">
        <v>7540.19</v>
      </c>
      <c r="X23" s="94">
        <f t="shared" si="0"/>
        <v>7.5462289411805272E-2</v>
      </c>
      <c r="Y23" s="95">
        <f t="shared" si="1"/>
        <v>0</v>
      </c>
      <c r="Z23" s="101"/>
    </row>
    <row r="24" spans="1:26" s="75" customFormat="1">
      <c r="A24" s="282"/>
      <c r="B24" s="104" t="s">
        <v>152</v>
      </c>
      <c r="C24" s="115">
        <v>1</v>
      </c>
      <c r="D24" s="89" t="s">
        <v>17</v>
      </c>
      <c r="E24" s="90">
        <v>0.5</v>
      </c>
      <c r="F24" s="90">
        <v>1</v>
      </c>
      <c r="G24" s="124" t="s">
        <v>18</v>
      </c>
      <c r="H24" s="107">
        <v>3216964</v>
      </c>
      <c r="I24" s="107">
        <f>SUM(J24:U24)</f>
        <v>2606841</v>
      </c>
      <c r="J24" s="107">
        <v>210611</v>
      </c>
      <c r="K24" s="107">
        <v>210671</v>
      </c>
      <c r="L24" s="107">
        <v>210671</v>
      </c>
      <c r="M24" s="107">
        <v>219432</v>
      </c>
      <c r="N24" s="107">
        <v>219432</v>
      </c>
      <c r="O24" s="107">
        <v>219432</v>
      </c>
      <c r="P24" s="107">
        <v>219432</v>
      </c>
      <c r="Q24" s="107">
        <v>219432</v>
      </c>
      <c r="R24" s="107">
        <v>219432</v>
      </c>
      <c r="S24" s="107">
        <v>219432</v>
      </c>
      <c r="T24" s="107">
        <v>219432</v>
      </c>
      <c r="U24" s="107">
        <v>219432</v>
      </c>
      <c r="V24" s="100">
        <v>1198511</v>
      </c>
      <c r="W24" s="100">
        <v>2606841</v>
      </c>
      <c r="X24" s="94">
        <f t="shared" si="0"/>
        <v>0.45975608025192177</v>
      </c>
      <c r="Y24" s="95">
        <f t="shared" si="1"/>
        <v>0</v>
      </c>
      <c r="Z24" s="101"/>
    </row>
    <row r="25" spans="1:26" s="75" customFormat="1" ht="26.5">
      <c r="A25" s="127" t="s">
        <v>41</v>
      </c>
      <c r="B25" s="128" t="s">
        <v>153</v>
      </c>
      <c r="C25" s="115">
        <v>1</v>
      </c>
      <c r="D25" s="89" t="s">
        <v>17</v>
      </c>
      <c r="E25" s="90">
        <v>0.5</v>
      </c>
      <c r="F25" s="90">
        <v>1</v>
      </c>
      <c r="G25" s="89" t="s">
        <v>18</v>
      </c>
      <c r="H25" s="129" t="s">
        <v>154</v>
      </c>
      <c r="I25" s="129">
        <v>1000001</v>
      </c>
      <c r="J25" s="129">
        <v>91599</v>
      </c>
      <c r="K25" s="129">
        <v>85249</v>
      </c>
      <c r="L25" s="129">
        <v>89221</v>
      </c>
      <c r="M25" s="107">
        <v>91276</v>
      </c>
      <c r="N25" s="107">
        <v>88463</v>
      </c>
      <c r="O25" s="107">
        <v>78826</v>
      </c>
      <c r="P25" s="129">
        <v>83874</v>
      </c>
      <c r="Q25" s="129">
        <v>82248</v>
      </c>
      <c r="R25" s="129">
        <v>80053</v>
      </c>
      <c r="S25" s="129">
        <v>76098</v>
      </c>
      <c r="T25" s="129">
        <v>79094</v>
      </c>
      <c r="U25" s="129">
        <v>74000</v>
      </c>
      <c r="V25" s="130">
        <v>2149733</v>
      </c>
      <c r="W25" s="100">
        <v>846907</v>
      </c>
      <c r="X25" s="94">
        <f t="shared" si="0"/>
        <v>2.5383341972613285</v>
      </c>
      <c r="Y25" s="95">
        <f t="shared" si="1"/>
        <v>1</v>
      </c>
      <c r="Z25" s="101"/>
    </row>
    <row r="26" spans="1:26" s="75" customFormat="1">
      <c r="A26" s="283" t="s">
        <v>155</v>
      </c>
      <c r="B26" s="132" t="s">
        <v>156</v>
      </c>
      <c r="C26" s="115">
        <v>1</v>
      </c>
      <c r="D26" s="89" t="s">
        <v>17</v>
      </c>
      <c r="E26" s="90">
        <v>0.5</v>
      </c>
      <c r="F26" s="90">
        <v>1</v>
      </c>
      <c r="G26" s="89" t="s">
        <v>130</v>
      </c>
      <c r="H26" s="133">
        <v>2350000</v>
      </c>
      <c r="I26" s="134">
        <f t="shared" ref="I26:I31" si="8">SUM(J26:U26)</f>
        <v>2123298.5</v>
      </c>
      <c r="J26" s="107">
        <v>161599.5</v>
      </c>
      <c r="K26" s="107">
        <v>199409</v>
      </c>
      <c r="L26" s="107">
        <v>200692</v>
      </c>
      <c r="M26" s="107">
        <v>186400.5</v>
      </c>
      <c r="N26" s="107">
        <v>192876</v>
      </c>
      <c r="O26" s="107">
        <v>192667.5</v>
      </c>
      <c r="P26" s="107">
        <v>179380.5</v>
      </c>
      <c r="Q26" s="107">
        <v>185497</v>
      </c>
      <c r="R26" s="107">
        <v>184102</v>
      </c>
      <c r="S26" s="107">
        <v>141781</v>
      </c>
      <c r="T26" s="107">
        <v>150876.5</v>
      </c>
      <c r="U26" s="107">
        <v>148017</v>
      </c>
      <c r="V26" s="130">
        <v>1051431</v>
      </c>
      <c r="W26" s="100">
        <v>2122784</v>
      </c>
      <c r="X26" s="94">
        <f t="shared" si="0"/>
        <v>0.4953075772193497</v>
      </c>
      <c r="Y26" s="95">
        <f t="shared" si="1"/>
        <v>0</v>
      </c>
      <c r="Z26" s="101"/>
    </row>
    <row r="27" spans="1:26" s="75" customFormat="1">
      <c r="A27" s="283"/>
      <c r="B27" s="132" t="s">
        <v>157</v>
      </c>
      <c r="C27" s="115">
        <v>1</v>
      </c>
      <c r="D27" s="89" t="s">
        <v>17</v>
      </c>
      <c r="E27" s="90">
        <v>0.5</v>
      </c>
      <c r="F27" s="90">
        <v>1</v>
      </c>
      <c r="G27" s="89" t="s">
        <v>130</v>
      </c>
      <c r="H27" s="135">
        <v>3370000</v>
      </c>
      <c r="I27" s="134">
        <f t="shared" si="8"/>
        <v>2133791</v>
      </c>
      <c r="J27" s="107">
        <v>148022</v>
      </c>
      <c r="K27" s="107">
        <v>186330</v>
      </c>
      <c r="L27" s="107">
        <v>187773.5</v>
      </c>
      <c r="M27" s="107">
        <v>172943</v>
      </c>
      <c r="N27" s="107">
        <v>274943.5</v>
      </c>
      <c r="O27" s="107">
        <v>179126</v>
      </c>
      <c r="P27" s="107">
        <v>169317</v>
      </c>
      <c r="Q27" s="107">
        <v>173416.5</v>
      </c>
      <c r="R27" s="107">
        <v>172368</v>
      </c>
      <c r="S27" s="107">
        <v>156652.5</v>
      </c>
      <c r="T27" s="107">
        <v>157838.5</v>
      </c>
      <c r="U27" s="107">
        <v>155060.5</v>
      </c>
      <c r="V27" s="130">
        <v>1576319</v>
      </c>
      <c r="W27" s="100">
        <v>2136468</v>
      </c>
      <c r="X27" s="94">
        <f t="shared" si="0"/>
        <v>0.73781540374112786</v>
      </c>
      <c r="Y27" s="95">
        <f t="shared" si="1"/>
        <v>0.47563080748225572</v>
      </c>
      <c r="Z27" s="136"/>
    </row>
    <row r="28" spans="1:26" s="75" customFormat="1">
      <c r="A28" s="283"/>
      <c r="B28" s="132" t="s">
        <v>158</v>
      </c>
      <c r="C28" s="115">
        <v>1</v>
      </c>
      <c r="D28" s="89" t="s">
        <v>17</v>
      </c>
      <c r="E28" s="90">
        <v>0.5</v>
      </c>
      <c r="F28" s="90">
        <v>1</v>
      </c>
      <c r="G28" s="89" t="s">
        <v>130</v>
      </c>
      <c r="H28" s="96">
        <v>1400</v>
      </c>
      <c r="I28" s="134">
        <f t="shared" si="8"/>
        <v>16081</v>
      </c>
      <c r="J28" s="107">
        <v>1126</v>
      </c>
      <c r="K28" s="107">
        <v>1206</v>
      </c>
      <c r="L28" s="107">
        <v>1254.5</v>
      </c>
      <c r="M28" s="107">
        <v>1318.5</v>
      </c>
      <c r="N28" s="107">
        <v>1528</v>
      </c>
      <c r="O28" s="107">
        <v>1415</v>
      </c>
      <c r="P28" s="107">
        <v>1479</v>
      </c>
      <c r="Q28" s="107">
        <v>1479</v>
      </c>
      <c r="R28" s="107">
        <v>1367</v>
      </c>
      <c r="S28" s="107">
        <v>1335</v>
      </c>
      <c r="T28" s="107">
        <v>1367</v>
      </c>
      <c r="U28" s="107">
        <v>1206</v>
      </c>
      <c r="V28" s="130">
        <v>88819</v>
      </c>
      <c r="W28" s="100">
        <v>16083</v>
      </c>
      <c r="X28" s="94">
        <f t="shared" si="0"/>
        <v>5.5225393272399428</v>
      </c>
      <c r="Y28" s="95">
        <f t="shared" si="1"/>
        <v>1</v>
      </c>
      <c r="Z28" s="101"/>
    </row>
    <row r="29" spans="1:26" s="103" customFormat="1">
      <c r="A29" s="283"/>
      <c r="B29" s="137" t="s">
        <v>159</v>
      </c>
      <c r="C29" s="115">
        <v>1</v>
      </c>
      <c r="D29" s="89" t="s">
        <v>17</v>
      </c>
      <c r="E29" s="90">
        <v>0.5</v>
      </c>
      <c r="F29" s="90">
        <v>1</v>
      </c>
      <c r="G29" s="89" t="s">
        <v>130</v>
      </c>
      <c r="H29" s="138">
        <v>291450</v>
      </c>
      <c r="I29" s="139">
        <f t="shared" si="8"/>
        <v>2882996.8</v>
      </c>
      <c r="J29" s="140">
        <v>212512.8</v>
      </c>
      <c r="K29" s="140">
        <v>261941.6</v>
      </c>
      <c r="L29" s="140">
        <v>263288.8</v>
      </c>
      <c r="M29" s="140">
        <v>246467.6</v>
      </c>
      <c r="N29" s="140">
        <v>252932.4</v>
      </c>
      <c r="O29" s="140">
        <v>253580.4</v>
      </c>
      <c r="P29" s="140">
        <v>238606</v>
      </c>
      <c r="Q29" s="140">
        <v>244930.8</v>
      </c>
      <c r="R29" s="140">
        <v>244432.4</v>
      </c>
      <c r="S29" s="140">
        <v>221317.6</v>
      </c>
      <c r="T29" s="140">
        <v>223094.39999999999</v>
      </c>
      <c r="U29" s="140">
        <v>219892</v>
      </c>
      <c r="V29" s="141">
        <v>347911</v>
      </c>
      <c r="W29" s="100">
        <v>2883043</v>
      </c>
      <c r="X29" s="94">
        <f t="shared" si="0"/>
        <v>0.12067492576420123</v>
      </c>
      <c r="Y29" s="95">
        <f t="shared" si="1"/>
        <v>0</v>
      </c>
      <c r="Z29" s="101"/>
    </row>
    <row r="30" spans="1:26" s="75" customFormat="1">
      <c r="A30" s="283"/>
      <c r="B30" s="132" t="s">
        <v>160</v>
      </c>
      <c r="C30" s="115">
        <v>1</v>
      </c>
      <c r="D30" s="89" t="s">
        <v>17</v>
      </c>
      <c r="E30" s="90">
        <v>0.5</v>
      </c>
      <c r="F30" s="90">
        <v>1</v>
      </c>
      <c r="G30" s="89" t="s">
        <v>130</v>
      </c>
      <c r="H30" s="125">
        <v>601</v>
      </c>
      <c r="I30" s="134">
        <f t="shared" si="8"/>
        <v>7471.5</v>
      </c>
      <c r="J30" s="107">
        <v>564</v>
      </c>
      <c r="K30" s="107">
        <v>688</v>
      </c>
      <c r="L30" s="107">
        <v>687.5</v>
      </c>
      <c r="M30" s="107">
        <v>633.5</v>
      </c>
      <c r="N30" s="107">
        <v>635.5</v>
      </c>
      <c r="O30" s="107">
        <v>632.5</v>
      </c>
      <c r="P30" s="107">
        <v>619.5</v>
      </c>
      <c r="Q30" s="107">
        <v>603</v>
      </c>
      <c r="R30" s="107">
        <v>591.5</v>
      </c>
      <c r="S30" s="107">
        <v>616</v>
      </c>
      <c r="T30" s="107">
        <v>609.5</v>
      </c>
      <c r="U30" s="107">
        <v>591</v>
      </c>
      <c r="V30" s="130">
        <v>5296</v>
      </c>
      <c r="W30" s="100">
        <v>7468</v>
      </c>
      <c r="X30" s="94">
        <f t="shared" si="0"/>
        <v>0.70915907873593997</v>
      </c>
      <c r="Y30" s="95">
        <f t="shared" si="1"/>
        <v>0.41831815747187995</v>
      </c>
      <c r="Z30" s="101"/>
    </row>
    <row r="31" spans="1:26" s="75" customFormat="1">
      <c r="A31" s="283"/>
      <c r="B31" s="132" t="s">
        <v>161</v>
      </c>
      <c r="C31" s="115">
        <v>1</v>
      </c>
      <c r="D31" s="89" t="s">
        <v>17</v>
      </c>
      <c r="E31" s="90">
        <v>0.5</v>
      </c>
      <c r="F31" s="90">
        <v>1</v>
      </c>
      <c r="G31" s="89" t="s">
        <v>130</v>
      </c>
      <c r="H31" s="125">
        <v>274</v>
      </c>
      <c r="I31" s="134">
        <f t="shared" si="8"/>
        <v>10948.399999999998</v>
      </c>
      <c r="J31" s="107">
        <v>782.8</v>
      </c>
      <c r="K31" s="107">
        <v>975.6</v>
      </c>
      <c r="L31" s="107">
        <v>978.4</v>
      </c>
      <c r="M31" s="107">
        <v>901.6</v>
      </c>
      <c r="N31" s="107">
        <v>918</v>
      </c>
      <c r="O31" s="107">
        <v>912.8</v>
      </c>
      <c r="P31" s="107">
        <v>892.8</v>
      </c>
      <c r="Q31" s="107">
        <v>901.2</v>
      </c>
      <c r="R31" s="107">
        <v>894</v>
      </c>
      <c r="S31" s="107">
        <v>939.6</v>
      </c>
      <c r="T31" s="107">
        <v>936.8</v>
      </c>
      <c r="U31" s="107">
        <v>914.8</v>
      </c>
      <c r="V31" s="130">
        <v>8728</v>
      </c>
      <c r="W31" s="100">
        <v>10946</v>
      </c>
      <c r="X31" s="94">
        <f t="shared" si="0"/>
        <v>0.79736890188196596</v>
      </c>
      <c r="Y31" s="95">
        <f t="shared" si="1"/>
        <v>0.59473780376393193</v>
      </c>
      <c r="Z31" s="101"/>
    </row>
    <row r="32" spans="1:26" s="75" customFormat="1">
      <c r="A32" s="283" t="s">
        <v>162</v>
      </c>
      <c r="B32" s="132" t="s">
        <v>163</v>
      </c>
      <c r="C32" s="115">
        <v>1</v>
      </c>
      <c r="D32" s="89" t="s">
        <v>17</v>
      </c>
      <c r="E32" s="90">
        <v>0.5</v>
      </c>
      <c r="F32" s="90">
        <v>1</v>
      </c>
      <c r="G32" s="89" t="s">
        <v>130</v>
      </c>
      <c r="H32" s="142">
        <v>0.11401531289863701</v>
      </c>
      <c r="I32" s="142">
        <v>0.311060307762965</v>
      </c>
      <c r="J32" s="142">
        <v>0.130249787672545</v>
      </c>
      <c r="K32" s="142">
        <v>0.14788390172239399</v>
      </c>
      <c r="L32" s="142">
        <v>0.16535253180856399</v>
      </c>
      <c r="M32" s="142">
        <v>0.182034015471599</v>
      </c>
      <c r="N32" s="142">
        <v>0.20230896648084201</v>
      </c>
      <c r="O32" s="142">
        <v>0.218781500955541</v>
      </c>
      <c r="P32" s="142">
        <v>0.234725485316542</v>
      </c>
      <c r="Q32" s="142">
        <v>0.25064083056778302</v>
      </c>
      <c r="R32" s="142">
        <v>0.26635205462474798</v>
      </c>
      <c r="S32" s="142">
        <v>0.28139684981496499</v>
      </c>
      <c r="T32" s="142">
        <v>0.296339444837319</v>
      </c>
      <c r="U32" s="142">
        <v>0.311060307762965</v>
      </c>
      <c r="V32" s="130">
        <v>305668</v>
      </c>
      <c r="W32" s="143">
        <v>4732725</v>
      </c>
      <c r="X32" s="94">
        <f t="shared" si="0"/>
        <v>6.4586047150426026E-2</v>
      </c>
      <c r="Y32" s="95">
        <f t="shared" si="1"/>
        <v>0</v>
      </c>
      <c r="Z32" s="136"/>
    </row>
    <row r="33" spans="1:26" s="75" customFormat="1">
      <c r="A33" s="283"/>
      <c r="B33" s="132" t="s">
        <v>164</v>
      </c>
      <c r="C33" s="115">
        <v>1</v>
      </c>
      <c r="D33" s="89" t="s">
        <v>17</v>
      </c>
      <c r="E33" s="90">
        <v>0.5</v>
      </c>
      <c r="F33" s="90">
        <v>1</v>
      </c>
      <c r="G33" s="89" t="s">
        <v>130</v>
      </c>
      <c r="H33" s="142">
        <v>0.32831401645647101</v>
      </c>
      <c r="I33" s="142">
        <f t="shared" ref="I33:I38" si="9">U33</f>
        <v>0.55251359117017296</v>
      </c>
      <c r="J33" s="142">
        <v>0.34854534724868502</v>
      </c>
      <c r="K33" s="142">
        <v>0.370555333003801</v>
      </c>
      <c r="L33" s="142">
        <v>0.39201196260469601</v>
      </c>
      <c r="M33" s="142">
        <v>0.41211069640551501</v>
      </c>
      <c r="N33" s="142">
        <v>0.432035608180456</v>
      </c>
      <c r="O33" s="142">
        <v>0.45144651021603799</v>
      </c>
      <c r="P33" s="142">
        <v>0.46977283808374298</v>
      </c>
      <c r="Q33" s="142">
        <v>0.48795919908177599</v>
      </c>
      <c r="R33" s="142">
        <v>0.50567939284026997</v>
      </c>
      <c r="S33" s="142">
        <v>0.521347899797034</v>
      </c>
      <c r="T33" s="142">
        <v>0.53711309735775303</v>
      </c>
      <c r="U33" s="142">
        <v>0.55251359117017296</v>
      </c>
      <c r="V33" s="130">
        <v>1390276</v>
      </c>
      <c r="W33" s="143">
        <v>3480041</v>
      </c>
      <c r="X33" s="94">
        <f t="shared" si="0"/>
        <v>0.39949989094956068</v>
      </c>
      <c r="Y33" s="95">
        <f t="shared" si="1"/>
        <v>0</v>
      </c>
      <c r="Z33" s="101"/>
    </row>
    <row r="34" spans="1:26" s="75" customFormat="1">
      <c r="A34" s="283"/>
      <c r="B34" s="132" t="s">
        <v>165</v>
      </c>
      <c r="C34" s="115">
        <v>1</v>
      </c>
      <c r="D34" s="89" t="s">
        <v>17</v>
      </c>
      <c r="E34" s="90">
        <v>0.5</v>
      </c>
      <c r="F34" s="90">
        <v>1</v>
      </c>
      <c r="G34" s="89" t="s">
        <v>130</v>
      </c>
      <c r="H34" s="142">
        <v>2.7471726407431299E-2</v>
      </c>
      <c r="I34" s="142">
        <f t="shared" si="9"/>
        <v>0.360427523116087</v>
      </c>
      <c r="J34" s="142">
        <v>5.7728352437039297E-2</v>
      </c>
      <c r="K34" s="142">
        <v>8.8278952755696194E-2</v>
      </c>
      <c r="L34" s="142">
        <v>0.11849199368103901</v>
      </c>
      <c r="M34" s="142">
        <v>0.14855181864782599</v>
      </c>
      <c r="N34" s="142">
        <v>0.180414000825451</v>
      </c>
      <c r="O34" s="142">
        <v>0.20943514862245699</v>
      </c>
      <c r="P34" s="142">
        <v>0.23814447228962499</v>
      </c>
      <c r="Q34" s="142">
        <v>0.26574382537531199</v>
      </c>
      <c r="R34" s="142">
        <v>0.29108148055302402</v>
      </c>
      <c r="S34" s="142">
        <v>0.31524319621825098</v>
      </c>
      <c r="T34" s="142">
        <v>0.338958495825116</v>
      </c>
      <c r="U34" s="142">
        <v>0.360427523116087</v>
      </c>
      <c r="V34" s="130">
        <v>4397</v>
      </c>
      <c r="W34" s="143">
        <v>23236</v>
      </c>
      <c r="X34" s="94">
        <f t="shared" si="0"/>
        <v>0.18923222585642968</v>
      </c>
      <c r="Y34" s="95">
        <f t="shared" si="1"/>
        <v>0</v>
      </c>
      <c r="Z34" s="101"/>
    </row>
    <row r="35" spans="1:26">
      <c r="A35" s="283"/>
      <c r="B35" s="132" t="s">
        <v>166</v>
      </c>
      <c r="C35" s="115">
        <v>1</v>
      </c>
      <c r="D35" s="89" t="s">
        <v>17</v>
      </c>
      <c r="E35" s="90">
        <v>0.5</v>
      </c>
      <c r="F35" s="90">
        <v>1</v>
      </c>
      <c r="G35" s="89" t="s">
        <v>130</v>
      </c>
      <c r="H35" s="142">
        <v>8.5167586927428901E-3</v>
      </c>
      <c r="I35" s="142">
        <f t="shared" si="9"/>
        <v>0.20058570667376499</v>
      </c>
      <c r="J35" s="142">
        <v>2.4574019649713098E-2</v>
      </c>
      <c r="K35" s="142">
        <v>4.1862560444670703E-2</v>
      </c>
      <c r="L35" s="142">
        <v>5.9003208998720601E-2</v>
      </c>
      <c r="M35" s="142">
        <v>7.5520857436683395E-2</v>
      </c>
      <c r="N35" s="142">
        <v>9.2043930035499197E-2</v>
      </c>
      <c r="O35" s="142">
        <v>0.10841995435912</v>
      </c>
      <c r="P35" s="142">
        <v>0.124270957150647</v>
      </c>
      <c r="Q35" s="142">
        <v>0.14012915209851601</v>
      </c>
      <c r="R35" s="142">
        <v>0.15582983915474199</v>
      </c>
      <c r="S35" s="142">
        <v>0.17086549956515501</v>
      </c>
      <c r="T35" s="142">
        <v>0.18581994398861101</v>
      </c>
      <c r="U35" s="142">
        <v>0.20058570667376499</v>
      </c>
      <c r="V35" s="130">
        <v>266068</v>
      </c>
      <c r="W35" s="143">
        <v>7151237</v>
      </c>
      <c r="X35" s="94">
        <f t="shared" si="0"/>
        <v>3.7205870816475528E-2</v>
      </c>
      <c r="Y35" s="95">
        <f t="shared" si="1"/>
        <v>0</v>
      </c>
    </row>
    <row r="36" spans="1:26">
      <c r="A36" s="283" t="s">
        <v>167</v>
      </c>
      <c r="B36" s="132" t="s">
        <v>168</v>
      </c>
      <c r="C36" s="115">
        <v>1</v>
      </c>
      <c r="D36" s="89" t="s">
        <v>17</v>
      </c>
      <c r="E36" s="90">
        <v>0.5</v>
      </c>
      <c r="F36" s="90">
        <v>1</v>
      </c>
      <c r="G36" s="89" t="s">
        <v>130</v>
      </c>
      <c r="H36" s="142">
        <v>5.4784780587409498E-3</v>
      </c>
      <c r="I36" s="142">
        <f t="shared" si="9"/>
        <v>0.18480138427204101</v>
      </c>
      <c r="J36" s="142">
        <v>2.05142110895471E-2</v>
      </c>
      <c r="K36" s="142">
        <v>3.6525767435153303E-2</v>
      </c>
      <c r="L36" s="142">
        <v>5.2397361196329303E-2</v>
      </c>
      <c r="M36" s="142">
        <v>6.7687686484079301E-2</v>
      </c>
      <c r="N36" s="142">
        <v>8.2878784524025695E-2</v>
      </c>
      <c r="O36" s="142">
        <v>9.7931972908941997E-2</v>
      </c>
      <c r="P36" s="142">
        <v>0.112772758129859</v>
      </c>
      <c r="Q36" s="142">
        <v>0.12738187870048101</v>
      </c>
      <c r="R36" s="142">
        <v>0.14180500533127599</v>
      </c>
      <c r="S36" s="142">
        <v>0.15631026187129801</v>
      </c>
      <c r="T36" s="142">
        <v>0.1706688396629</v>
      </c>
      <c r="U36" s="142">
        <v>0.18480138427204101</v>
      </c>
      <c r="V36" s="130">
        <v>4210</v>
      </c>
      <c r="W36" s="143">
        <v>21053</v>
      </c>
      <c r="X36" s="94">
        <f t="shared" si="0"/>
        <v>0.19997150049874127</v>
      </c>
      <c r="Y36" s="95">
        <f t="shared" si="1"/>
        <v>0</v>
      </c>
    </row>
    <row r="37" spans="1:26">
      <c r="A37" s="283"/>
      <c r="B37" s="132" t="s">
        <v>169</v>
      </c>
      <c r="C37" s="115">
        <v>1</v>
      </c>
      <c r="D37" s="89" t="s">
        <v>17</v>
      </c>
      <c r="E37" s="90">
        <v>0.5</v>
      </c>
      <c r="F37" s="90">
        <v>1</v>
      </c>
      <c r="G37" s="89" t="s">
        <v>130</v>
      </c>
      <c r="H37" s="142">
        <v>2E-3</v>
      </c>
      <c r="I37" s="142">
        <f t="shared" si="9"/>
        <v>0.185193144604373</v>
      </c>
      <c r="J37" s="142">
        <v>1.6946659620486401E-2</v>
      </c>
      <c r="K37" s="142">
        <v>3.3192972205443601E-2</v>
      </c>
      <c r="L37" s="142">
        <v>4.9313222339756498E-2</v>
      </c>
      <c r="M37" s="142">
        <v>6.4825548520272405E-2</v>
      </c>
      <c r="N37" s="142">
        <v>8.03128492919509E-2</v>
      </c>
      <c r="O37" s="142">
        <v>9.5646277029639598E-2</v>
      </c>
      <c r="P37" s="142">
        <v>0.110745674817828</v>
      </c>
      <c r="Q37" s="142">
        <v>0.12577718907674501</v>
      </c>
      <c r="R37" s="142">
        <v>0.14065548162562799</v>
      </c>
      <c r="S37" s="142">
        <v>0.15566461500221601</v>
      </c>
      <c r="T37" s="142">
        <v>0.17054188772116399</v>
      </c>
      <c r="U37" s="142">
        <v>0.185193144604373</v>
      </c>
      <c r="V37" s="130">
        <v>8355</v>
      </c>
      <c r="W37" s="143">
        <v>29573</v>
      </c>
      <c r="X37" s="94">
        <f t="shared" si="0"/>
        <v>0.2825212186792006</v>
      </c>
      <c r="Y37" s="95">
        <f t="shared" si="1"/>
        <v>0</v>
      </c>
    </row>
    <row r="38" spans="1:26">
      <c r="A38" s="283"/>
      <c r="B38" s="132" t="s">
        <v>170</v>
      </c>
      <c r="C38" s="115">
        <v>1</v>
      </c>
      <c r="D38" s="89" t="s">
        <v>17</v>
      </c>
      <c r="E38" s="90">
        <v>0.5</v>
      </c>
      <c r="F38" s="90">
        <v>1</v>
      </c>
      <c r="G38" s="89" t="s">
        <v>130</v>
      </c>
      <c r="H38" s="142">
        <v>0.18</v>
      </c>
      <c r="I38" s="142">
        <f t="shared" si="9"/>
        <v>0.78</v>
      </c>
      <c r="J38" s="142">
        <v>0.23</v>
      </c>
      <c r="K38" s="142">
        <v>0.28000000000000003</v>
      </c>
      <c r="L38" s="142">
        <v>0.33</v>
      </c>
      <c r="M38" s="142">
        <v>0.38</v>
      </c>
      <c r="N38" s="142">
        <v>0.43</v>
      </c>
      <c r="O38" s="142">
        <v>0.48</v>
      </c>
      <c r="P38" s="142">
        <v>0.53</v>
      </c>
      <c r="Q38" s="142">
        <v>0.57999999999999996</v>
      </c>
      <c r="R38" s="142">
        <v>0.63</v>
      </c>
      <c r="S38" s="142">
        <v>0.68</v>
      </c>
      <c r="T38" s="142">
        <v>0.73</v>
      </c>
      <c r="U38" s="142">
        <v>0.78</v>
      </c>
      <c r="V38" s="144">
        <v>0</v>
      </c>
      <c r="W38" s="93">
        <f>U38</f>
        <v>0.78</v>
      </c>
      <c r="X38" s="94">
        <f t="shared" si="0"/>
        <v>0</v>
      </c>
      <c r="Y38" s="95">
        <f t="shared" si="1"/>
        <v>0</v>
      </c>
    </row>
    <row r="39" spans="1:26" ht="26.5">
      <c r="A39" s="131" t="s">
        <v>171</v>
      </c>
      <c r="B39" s="132" t="s">
        <v>172</v>
      </c>
      <c r="C39" s="115">
        <v>2</v>
      </c>
      <c r="D39" s="124" t="s">
        <v>48</v>
      </c>
      <c r="E39" s="145">
        <f>H39</f>
        <v>0.71260000000000001</v>
      </c>
      <c r="F39" s="90">
        <v>1</v>
      </c>
      <c r="G39" s="89" t="s">
        <v>130</v>
      </c>
      <c r="H39" s="142">
        <v>0.71260000000000001</v>
      </c>
      <c r="I39" s="142">
        <v>0.8</v>
      </c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>
        <v>0.8</v>
      </c>
      <c r="V39" s="93">
        <v>0.82579999999999998</v>
      </c>
      <c r="W39" s="93">
        <f>U39</f>
        <v>0.8</v>
      </c>
      <c r="X39" s="94">
        <f t="shared" si="0"/>
        <v>1.0322499999999999</v>
      </c>
      <c r="Y39" s="95">
        <f t="shared" si="1"/>
        <v>2</v>
      </c>
      <c r="Z39" s="75" t="s">
        <v>173</v>
      </c>
    </row>
    <row r="40" spans="1:26" ht="26.5">
      <c r="A40" s="283" t="s">
        <v>174</v>
      </c>
      <c r="B40" s="132" t="s">
        <v>175</v>
      </c>
      <c r="C40" s="115">
        <v>1</v>
      </c>
      <c r="D40" s="124" t="s">
        <v>48</v>
      </c>
      <c r="E40" s="145">
        <f>H40</f>
        <v>0.76700000000000002</v>
      </c>
      <c r="F40" s="90">
        <v>1</v>
      </c>
      <c r="G40" s="89" t="s">
        <v>130</v>
      </c>
      <c r="H40" s="142">
        <v>0.76700000000000002</v>
      </c>
      <c r="I40" s="142">
        <v>0.8</v>
      </c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>
        <v>0.8</v>
      </c>
      <c r="V40" s="93">
        <v>0.81799999999999995</v>
      </c>
      <c r="W40" s="93">
        <f>U40</f>
        <v>0.8</v>
      </c>
      <c r="X40" s="94">
        <f t="shared" si="0"/>
        <v>1.0225</v>
      </c>
      <c r="Y40" s="95">
        <f t="shared" si="1"/>
        <v>1</v>
      </c>
      <c r="Z40" s="75" t="s">
        <v>173</v>
      </c>
    </row>
    <row r="41" spans="1:26" ht="26.5">
      <c r="A41" s="283"/>
      <c r="B41" s="132" t="s">
        <v>176</v>
      </c>
      <c r="C41" s="115">
        <v>1</v>
      </c>
      <c r="D41" s="124" t="s">
        <v>48</v>
      </c>
      <c r="E41" s="145">
        <f>H41</f>
        <v>0.73</v>
      </c>
      <c r="F41" s="90">
        <v>1</v>
      </c>
      <c r="G41" s="89" t="s">
        <v>130</v>
      </c>
      <c r="H41" s="142">
        <v>0.73</v>
      </c>
      <c r="I41" s="142">
        <v>0.75</v>
      </c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>
        <v>0.75</v>
      </c>
      <c r="V41" s="93">
        <v>0.91100000000000003</v>
      </c>
      <c r="W41" s="93">
        <f>U41</f>
        <v>0.75</v>
      </c>
      <c r="X41" s="94">
        <f t="shared" si="0"/>
        <v>1.2146666666666668</v>
      </c>
      <c r="Y41" s="95">
        <f t="shared" si="1"/>
        <v>1</v>
      </c>
      <c r="Z41" s="75" t="s">
        <v>173</v>
      </c>
    </row>
    <row r="42" spans="1:26">
      <c r="A42" s="147"/>
      <c r="B42" s="148" t="s">
        <v>53</v>
      </c>
      <c r="C42" s="149">
        <f>SUM(C7:C41)</f>
        <v>100</v>
      </c>
      <c r="D42" s="150"/>
      <c r="E42" s="151"/>
      <c r="F42" s="151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3"/>
      <c r="W42" s="154"/>
      <c r="X42" s="154"/>
      <c r="Y42" s="108">
        <f>SUM(Y7:Y41)</f>
        <v>53.421118694785093</v>
      </c>
      <c r="Z42" s="155"/>
    </row>
    <row r="43" spans="1:26">
      <c r="A43" s="84"/>
      <c r="B43" s="156"/>
      <c r="C43" s="157"/>
      <c r="D43" s="158"/>
      <c r="E43" s="159"/>
      <c r="F43" s="159"/>
      <c r="G43" s="158"/>
      <c r="H43" s="160"/>
      <c r="I43" s="160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284" t="s">
        <v>54</v>
      </c>
      <c r="W43" s="285"/>
      <c r="X43" s="286"/>
      <c r="Y43" s="161">
        <f>Y49*0.6</f>
        <v>32.052671216871055</v>
      </c>
    </row>
    <row r="44" spans="1:26">
      <c r="A44" s="162" t="s">
        <v>55</v>
      </c>
      <c r="C44" s="157"/>
      <c r="D44" s="79"/>
      <c r="G44" s="163"/>
      <c r="H44" s="164"/>
      <c r="I44" s="165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V44" s="276" t="s">
        <v>56</v>
      </c>
      <c r="W44" s="277"/>
      <c r="X44" s="278"/>
      <c r="Y44" s="161">
        <f>[2]CBE!$AD$59</f>
        <v>71.233221630678898</v>
      </c>
    </row>
    <row r="45" spans="1:26">
      <c r="A45" s="167"/>
      <c r="B45" s="168"/>
      <c r="C45" s="157"/>
      <c r="D45" s="169"/>
      <c r="E45" s="170"/>
      <c r="F45" s="170"/>
      <c r="G45" s="171"/>
      <c r="H45" s="172"/>
      <c r="I45" s="173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276" t="s">
        <v>57</v>
      </c>
      <c r="W45" s="277"/>
      <c r="X45" s="278"/>
      <c r="Y45" s="161">
        <f>Y44*0.4</f>
        <v>28.493288652271559</v>
      </c>
    </row>
    <row r="46" spans="1:26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L46" s="175"/>
      <c r="M46" s="175"/>
      <c r="N46" s="288"/>
      <c r="O46" s="288"/>
      <c r="P46" s="288"/>
      <c r="Q46" s="288"/>
      <c r="R46" s="288"/>
      <c r="S46" s="288"/>
      <c r="T46" s="288"/>
      <c r="U46" s="288"/>
      <c r="V46" s="276" t="s">
        <v>58</v>
      </c>
      <c r="W46" s="277"/>
      <c r="X46" s="278"/>
      <c r="Y46" s="161">
        <f>Y43+Y45</f>
        <v>60.545959869142614</v>
      </c>
      <c r="Z46" s="176" t="s">
        <v>59</v>
      </c>
    </row>
    <row r="47" spans="1:26">
      <c r="Y47" s="178"/>
    </row>
    <row r="48" spans="1:26">
      <c r="V48" s="289" t="s">
        <v>60</v>
      </c>
      <c r="W48" s="290"/>
      <c r="X48" s="291"/>
      <c r="Y48" s="180"/>
    </row>
    <row r="49" spans="22:25">
      <c r="V49" s="289" t="s">
        <v>61</v>
      </c>
      <c r="W49" s="292"/>
      <c r="X49" s="179"/>
      <c r="Y49" s="181">
        <f>(Y42*100)/(100-Y48)</f>
        <v>53.421118694785093</v>
      </c>
    </row>
  </sheetData>
  <mergeCells count="27">
    <mergeCell ref="A46:J46"/>
    <mergeCell ref="N46:U46"/>
    <mergeCell ref="V46:X46"/>
    <mergeCell ref="V48:X48"/>
    <mergeCell ref="V49:W49"/>
    <mergeCell ref="V45:X45"/>
    <mergeCell ref="J5:U5"/>
    <mergeCell ref="V5:Y5"/>
    <mergeCell ref="A8:A16"/>
    <mergeCell ref="A18:A19"/>
    <mergeCell ref="A21:A24"/>
    <mergeCell ref="A26:A31"/>
    <mergeCell ref="A32:A35"/>
    <mergeCell ref="A36:A38"/>
    <mergeCell ref="A40:A41"/>
    <mergeCell ref="V43:X43"/>
    <mergeCell ref="V44:X44"/>
    <mergeCell ref="A1:Y1"/>
    <mergeCell ref="A2:Y2"/>
    <mergeCell ref="A3:Y3"/>
    <mergeCell ref="A5:A6"/>
    <mergeCell ref="B5:B6"/>
    <mergeCell ref="C5:C6"/>
    <mergeCell ref="D5:E6"/>
    <mergeCell ref="F5:G6"/>
    <mergeCell ref="H5:H6"/>
    <mergeCell ref="I5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9"/>
  <sheetViews>
    <sheetView workbookViewId="0">
      <selection activeCell="E26" sqref="E26"/>
    </sheetView>
  </sheetViews>
  <sheetFormatPr defaultColWidth="9.1796875" defaultRowHeight="13.5"/>
  <cols>
    <col min="1" max="1" width="20.1796875" style="84" customWidth="1"/>
    <col min="2" max="2" width="26.54296875" style="75" customWidth="1"/>
    <col min="3" max="3" width="6.7265625" style="245" customWidth="1"/>
    <col min="4" max="4" width="15.54296875" style="245" customWidth="1"/>
    <col min="5" max="5" width="7.54296875" style="244" customWidth="1"/>
    <col min="6" max="6" width="7.54296875" style="245" customWidth="1"/>
    <col min="7" max="7" width="12.26953125" style="84" customWidth="1"/>
    <col min="8" max="9" width="10.81640625" style="75" customWidth="1"/>
    <col min="10" max="18" width="9.54296875" style="75" customWidth="1"/>
    <col min="19" max="21" width="9.453125" style="75" customWidth="1"/>
    <col min="22" max="22" width="10.81640625" style="76" customWidth="1"/>
    <col min="23" max="23" width="11.54296875" style="76" customWidth="1"/>
    <col min="24" max="24" width="8.54296875" style="76" customWidth="1"/>
    <col min="25" max="25" width="8" style="76" customWidth="1"/>
    <col min="26" max="26" width="13.1796875" style="75" customWidth="1"/>
    <col min="27" max="16384" width="9.1796875" style="75"/>
  </cols>
  <sheetData>
    <row r="1" spans="1:25" s="76" customFormat="1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</row>
    <row r="2" spans="1:25" s="76" customFormat="1">
      <c r="A2" s="266" t="str">
        <f>[2]CBE!A2</f>
        <v xml:space="preserve">2024/25 Nine Month Scorecard 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</row>
    <row r="3" spans="1:25" s="76" customFormat="1">
      <c r="A3" s="266" t="s">
        <v>62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</row>
    <row r="4" spans="1:25" s="76" customFormat="1">
      <c r="A4" s="77"/>
      <c r="C4" s="79"/>
      <c r="D4" s="79"/>
      <c r="E4" s="80"/>
      <c r="F4" s="79"/>
      <c r="G4" s="81"/>
    </row>
    <row r="5" spans="1:25" s="177" customFormat="1">
      <c r="A5" s="296" t="s">
        <v>2</v>
      </c>
      <c r="B5" s="296" t="s">
        <v>3</v>
      </c>
      <c r="C5" s="296" t="s">
        <v>5</v>
      </c>
      <c r="D5" s="269" t="s">
        <v>6</v>
      </c>
      <c r="E5" s="270"/>
      <c r="F5" s="297" t="s">
        <v>7</v>
      </c>
      <c r="G5" s="298"/>
      <c r="H5" s="301" t="s">
        <v>8</v>
      </c>
      <c r="I5" s="301" t="s">
        <v>9</v>
      </c>
      <c r="J5" s="303" t="s">
        <v>115</v>
      </c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5"/>
      <c r="V5" s="296" t="str">
        <f>[2]CBE!AA4</f>
        <v xml:space="preserve">2024/25 Nine Month Scorecard </v>
      </c>
      <c r="W5" s="296"/>
      <c r="X5" s="296"/>
      <c r="Y5" s="296"/>
    </row>
    <row r="6" spans="1:25" s="177" customFormat="1">
      <c r="A6" s="296"/>
      <c r="B6" s="296"/>
      <c r="C6" s="296"/>
      <c r="D6" s="271"/>
      <c r="E6" s="272"/>
      <c r="F6" s="299"/>
      <c r="G6" s="300"/>
      <c r="H6" s="302"/>
      <c r="I6" s="302"/>
      <c r="J6" s="182" t="s">
        <v>116</v>
      </c>
      <c r="K6" s="182" t="s">
        <v>117</v>
      </c>
      <c r="L6" s="182" t="s">
        <v>118</v>
      </c>
      <c r="M6" s="182" t="s">
        <v>119</v>
      </c>
      <c r="N6" s="182" t="s">
        <v>120</v>
      </c>
      <c r="O6" s="182" t="s">
        <v>121</v>
      </c>
      <c r="P6" s="182" t="s">
        <v>122</v>
      </c>
      <c r="Q6" s="182" t="s">
        <v>123</v>
      </c>
      <c r="R6" s="182" t="s">
        <v>124</v>
      </c>
      <c r="S6" s="182" t="s">
        <v>125</v>
      </c>
      <c r="T6" s="182" t="s">
        <v>126</v>
      </c>
      <c r="U6" s="182" t="s">
        <v>127</v>
      </c>
      <c r="V6" s="182" t="s">
        <v>10</v>
      </c>
      <c r="W6" s="182" t="s">
        <v>11</v>
      </c>
      <c r="X6" s="182" t="s">
        <v>12</v>
      </c>
      <c r="Y6" s="182" t="s">
        <v>13</v>
      </c>
    </row>
    <row r="7" spans="1:25" ht="39.5">
      <c r="A7" s="183" t="s">
        <v>177</v>
      </c>
      <c r="B7" s="184" t="s">
        <v>178</v>
      </c>
      <c r="C7" s="185">
        <v>8</v>
      </c>
      <c r="D7" s="186" t="s">
        <v>179</v>
      </c>
      <c r="E7" s="187">
        <v>0.5</v>
      </c>
      <c r="F7" s="188">
        <v>1</v>
      </c>
      <c r="G7" s="186" t="s">
        <v>65</v>
      </c>
      <c r="H7" s="189">
        <v>29000</v>
      </c>
      <c r="I7" s="190">
        <f>SUM(J7:U7)</f>
        <v>36000</v>
      </c>
      <c r="J7" s="189">
        <v>3000</v>
      </c>
      <c r="K7" s="189">
        <v>3000</v>
      </c>
      <c r="L7" s="189">
        <v>3000</v>
      </c>
      <c r="M7" s="189">
        <v>3000</v>
      </c>
      <c r="N7" s="189">
        <v>3000</v>
      </c>
      <c r="O7" s="189">
        <v>3000</v>
      </c>
      <c r="P7" s="189">
        <v>3000</v>
      </c>
      <c r="Q7" s="189">
        <v>3000</v>
      </c>
      <c r="R7" s="189">
        <v>3000</v>
      </c>
      <c r="S7" s="189">
        <v>3000</v>
      </c>
      <c r="T7" s="189">
        <v>3000</v>
      </c>
      <c r="U7" s="189">
        <v>3000</v>
      </c>
      <c r="V7" s="100">
        <v>39500</v>
      </c>
      <c r="W7" s="191">
        <v>36000</v>
      </c>
      <c r="X7" s="94">
        <f>V7/W7</f>
        <v>1.0972222222222223</v>
      </c>
      <c r="Y7" s="192">
        <f t="shared" ref="Y7:Y24" si="0">IF(X7&gt;=E7,MIN((X7-E7)*(C7/(F7-E7)),C7),0)</f>
        <v>8</v>
      </c>
    </row>
    <row r="8" spans="1:25" ht="26.5">
      <c r="A8" s="183" t="s">
        <v>180</v>
      </c>
      <c r="B8" s="184" t="s">
        <v>181</v>
      </c>
      <c r="C8" s="185">
        <v>10</v>
      </c>
      <c r="D8" s="186" t="s">
        <v>17</v>
      </c>
      <c r="E8" s="187">
        <v>0.7</v>
      </c>
      <c r="F8" s="188">
        <v>1</v>
      </c>
      <c r="G8" s="186" t="s">
        <v>65</v>
      </c>
      <c r="H8" s="190">
        <f>1077277/1000</f>
        <v>1077.277</v>
      </c>
      <c r="I8" s="190">
        <f>SUM(J8:U8)</f>
        <v>5430.82389168188</v>
      </c>
      <c r="J8" s="193">
        <v>352.85417073000002</v>
      </c>
      <c r="K8" s="193">
        <v>371.97317619</v>
      </c>
      <c r="L8" s="193">
        <v>390.74254311999999</v>
      </c>
      <c r="M8" s="193">
        <v>430.913075329408</v>
      </c>
      <c r="N8" s="193">
        <v>431.57560542112299</v>
      </c>
      <c r="O8" s="193">
        <v>433.35844477886701</v>
      </c>
      <c r="P8" s="193">
        <v>480.64593876273398</v>
      </c>
      <c r="Q8" s="193">
        <v>481.05580622270401</v>
      </c>
      <c r="R8" s="193">
        <v>481.474080207008</v>
      </c>
      <c r="S8" s="193">
        <v>524.23339879533398</v>
      </c>
      <c r="T8" s="193">
        <v>524.80965529227296</v>
      </c>
      <c r="U8" s="193">
        <v>527.18799683242901</v>
      </c>
      <c r="V8" s="100">
        <v>5015</v>
      </c>
      <c r="W8" s="191">
        <v>5430.82389168188</v>
      </c>
      <c r="X8" s="94">
        <f>V8/W8</f>
        <v>0.92343263195870218</v>
      </c>
      <c r="Y8" s="192">
        <f t="shared" si="0"/>
        <v>7.447754398623406</v>
      </c>
    </row>
    <row r="9" spans="1:25" ht="65.5">
      <c r="A9" s="194" t="s">
        <v>182</v>
      </c>
      <c r="B9" s="184" t="s">
        <v>183</v>
      </c>
      <c r="C9" s="194">
        <v>5</v>
      </c>
      <c r="D9" s="186" t="s">
        <v>17</v>
      </c>
      <c r="E9" s="187">
        <v>0.5</v>
      </c>
      <c r="F9" s="188">
        <v>1</v>
      </c>
      <c r="G9" s="89" t="s">
        <v>184</v>
      </c>
      <c r="H9" s="195">
        <v>771.7</v>
      </c>
      <c r="I9" s="196">
        <f>SUM(J9:U9)</f>
        <v>950</v>
      </c>
      <c r="J9" s="197">
        <v>50</v>
      </c>
      <c r="K9" s="197">
        <v>75</v>
      </c>
      <c r="L9" s="197">
        <v>50</v>
      </c>
      <c r="M9" s="197">
        <v>50</v>
      </c>
      <c r="N9" s="197">
        <v>75</v>
      </c>
      <c r="O9" s="197">
        <v>50</v>
      </c>
      <c r="P9" s="197" t="s">
        <v>185</v>
      </c>
      <c r="Q9" s="197">
        <v>50</v>
      </c>
      <c r="R9" s="197">
        <v>50</v>
      </c>
      <c r="S9" s="197">
        <v>100</v>
      </c>
      <c r="T9" s="197">
        <v>200</v>
      </c>
      <c r="U9" s="197">
        <v>200</v>
      </c>
      <c r="V9" s="100">
        <v>49549.647315149101</v>
      </c>
      <c r="W9" s="191">
        <v>950</v>
      </c>
      <c r="X9" s="94">
        <f>V9/W9</f>
        <v>52.157523489630634</v>
      </c>
      <c r="Y9" s="192">
        <f t="shared" si="0"/>
        <v>5</v>
      </c>
    </row>
    <row r="10" spans="1:25">
      <c r="A10" s="306" t="s">
        <v>186</v>
      </c>
      <c r="B10" s="198" t="s">
        <v>187</v>
      </c>
      <c r="C10" s="199">
        <v>3</v>
      </c>
      <c r="D10" s="124" t="s">
        <v>188</v>
      </c>
      <c r="E10" s="145">
        <v>0.5</v>
      </c>
      <c r="F10" s="200">
        <v>0.9</v>
      </c>
      <c r="G10" s="89" t="s">
        <v>184</v>
      </c>
      <c r="H10" s="201">
        <v>0.11401531289863701</v>
      </c>
      <c r="I10" s="202">
        <v>0.311060307762965</v>
      </c>
      <c r="J10" s="202">
        <v>0.130249787672545</v>
      </c>
      <c r="K10" s="202">
        <v>0.14788390172239399</v>
      </c>
      <c r="L10" s="202">
        <v>0.16535253180856399</v>
      </c>
      <c r="M10" s="202">
        <v>0.182034015471599</v>
      </c>
      <c r="N10" s="202">
        <v>0.20230896648084201</v>
      </c>
      <c r="O10" s="202">
        <v>0.218781500955541</v>
      </c>
      <c r="P10" s="202">
        <v>0.234725485316542</v>
      </c>
      <c r="Q10" s="202">
        <v>0.25064083056778302</v>
      </c>
      <c r="R10" s="202">
        <v>0.26635205462474798</v>
      </c>
      <c r="S10" s="202">
        <v>0.28139684981496499</v>
      </c>
      <c r="T10" s="202">
        <v>0.296339444837319</v>
      </c>
      <c r="U10" s="202">
        <v>0.311060307762965</v>
      </c>
      <c r="V10" s="93">
        <v>0.16</v>
      </c>
      <c r="W10" s="93">
        <v>0.31</v>
      </c>
      <c r="X10" s="94">
        <f>V10/W10</f>
        <v>0.5161290322580645</v>
      </c>
      <c r="Y10" s="192">
        <f t="shared" si="0"/>
        <v>0.12096774193548376</v>
      </c>
    </row>
    <row r="11" spans="1:25">
      <c r="A11" s="306"/>
      <c r="B11" s="198" t="s">
        <v>189</v>
      </c>
      <c r="C11" s="199">
        <v>3</v>
      </c>
      <c r="D11" s="124" t="s">
        <v>188</v>
      </c>
      <c r="E11" s="145">
        <v>0.5</v>
      </c>
      <c r="F11" s="200">
        <v>0.9</v>
      </c>
      <c r="G11" s="89" t="s">
        <v>184</v>
      </c>
      <c r="H11" s="201">
        <v>0.32831401645647101</v>
      </c>
      <c r="I11" s="202">
        <v>0.55251359117017296</v>
      </c>
      <c r="J11" s="202">
        <v>0.34854534724868502</v>
      </c>
      <c r="K11" s="202">
        <v>0.370555333003801</v>
      </c>
      <c r="L11" s="202">
        <v>0.39201196260469601</v>
      </c>
      <c r="M11" s="202">
        <v>0.41211069640551501</v>
      </c>
      <c r="N11" s="202">
        <v>0.432035608180456</v>
      </c>
      <c r="O11" s="202">
        <v>0.45144651021603799</v>
      </c>
      <c r="P11" s="202">
        <v>0.46977283808374298</v>
      </c>
      <c r="Q11" s="202">
        <v>0.48795919908177599</v>
      </c>
      <c r="R11" s="202">
        <v>0.50567939284026997</v>
      </c>
      <c r="S11" s="202">
        <v>0.521347899797034</v>
      </c>
      <c r="T11" s="202">
        <v>0.53711309735775303</v>
      </c>
      <c r="U11" s="202">
        <v>0.55251359117017296</v>
      </c>
      <c r="V11" s="93">
        <v>0.45</v>
      </c>
      <c r="W11" s="93">
        <v>0.55000000000000004</v>
      </c>
      <c r="X11" s="94">
        <f>V11/W11</f>
        <v>0.81818181818181812</v>
      </c>
      <c r="Y11" s="192">
        <f t="shared" si="0"/>
        <v>2.3863636363636358</v>
      </c>
    </row>
    <row r="12" spans="1:25">
      <c r="A12" s="306"/>
      <c r="B12" s="124" t="s">
        <v>190</v>
      </c>
      <c r="C12" s="199">
        <v>3</v>
      </c>
      <c r="D12" s="124" t="s">
        <v>17</v>
      </c>
      <c r="E12" s="145">
        <v>0.5</v>
      </c>
      <c r="F12" s="200">
        <v>0.9</v>
      </c>
      <c r="G12" s="89" t="s">
        <v>184</v>
      </c>
      <c r="H12" s="201">
        <v>2.7471726407431299E-2</v>
      </c>
      <c r="I12" s="202">
        <v>0.360427523116087</v>
      </c>
      <c r="J12" s="202">
        <v>5.7728352437039297E-2</v>
      </c>
      <c r="K12" s="202">
        <v>8.8278952755696194E-2</v>
      </c>
      <c r="L12" s="202">
        <v>0.11849199368103901</v>
      </c>
      <c r="M12" s="202">
        <v>0.14855181864782599</v>
      </c>
      <c r="N12" s="202">
        <v>0.180414000825451</v>
      </c>
      <c r="O12" s="202">
        <v>0.20943514862245699</v>
      </c>
      <c r="P12" s="202">
        <v>0.23814447228962499</v>
      </c>
      <c r="Q12" s="202">
        <v>0.26574382537531199</v>
      </c>
      <c r="R12" s="202">
        <v>0.29108148055302402</v>
      </c>
      <c r="S12" s="202">
        <v>0.31524319621825098</v>
      </c>
      <c r="T12" s="202">
        <v>0.338958495825116</v>
      </c>
      <c r="U12" s="202">
        <v>0.360427523116087</v>
      </c>
      <c r="V12" s="93">
        <v>0.63</v>
      </c>
      <c r="W12" s="93">
        <v>0.36</v>
      </c>
      <c r="X12" s="94">
        <f t="shared" ref="X12:X25" si="1">V12/W12</f>
        <v>1.75</v>
      </c>
      <c r="Y12" s="192">
        <f t="shared" si="0"/>
        <v>3</v>
      </c>
    </row>
    <row r="13" spans="1:25">
      <c r="A13" s="306"/>
      <c r="B13" s="124" t="s">
        <v>81</v>
      </c>
      <c r="C13" s="199">
        <v>3</v>
      </c>
      <c r="D13" s="124" t="s">
        <v>188</v>
      </c>
      <c r="E13" s="145">
        <v>0.5</v>
      </c>
      <c r="F13" s="200">
        <v>0.9</v>
      </c>
      <c r="G13" s="89" t="s">
        <v>184</v>
      </c>
      <c r="H13" s="201">
        <v>8.5167586927428901E-3</v>
      </c>
      <c r="I13" s="202">
        <v>0.20058570667376499</v>
      </c>
      <c r="J13" s="203">
        <v>2.4574019649713098E-2</v>
      </c>
      <c r="K13" s="203">
        <v>4.1862560444670703E-2</v>
      </c>
      <c r="L13" s="203">
        <v>5.9003208998720601E-2</v>
      </c>
      <c r="M13" s="203">
        <v>7.5520857436683395E-2</v>
      </c>
      <c r="N13" s="203">
        <v>9.2043930035499197E-2</v>
      </c>
      <c r="O13" s="203">
        <v>0.10841995435912</v>
      </c>
      <c r="P13" s="203">
        <v>0.124270957150647</v>
      </c>
      <c r="Q13" s="203">
        <v>0.14012915209851601</v>
      </c>
      <c r="R13" s="203">
        <v>0.15582983915474199</v>
      </c>
      <c r="S13" s="203">
        <v>0.17086549956515501</v>
      </c>
      <c r="T13" s="203">
        <v>0.18581994398861101</v>
      </c>
      <c r="U13" s="203">
        <v>0.20058570667376499</v>
      </c>
      <c r="V13" s="93">
        <v>0.02</v>
      </c>
      <c r="W13" s="93">
        <v>0.2</v>
      </c>
      <c r="X13" s="94">
        <f t="shared" si="1"/>
        <v>9.9999999999999992E-2</v>
      </c>
      <c r="Y13" s="192">
        <f t="shared" si="0"/>
        <v>0</v>
      </c>
    </row>
    <row r="14" spans="1:25">
      <c r="A14" s="306"/>
      <c r="B14" s="124" t="s">
        <v>191</v>
      </c>
      <c r="C14" s="199">
        <v>7</v>
      </c>
      <c r="D14" s="124" t="s">
        <v>188</v>
      </c>
      <c r="E14" s="145">
        <v>0.5</v>
      </c>
      <c r="F14" s="200">
        <v>1</v>
      </c>
      <c r="G14" s="204" t="s">
        <v>65</v>
      </c>
      <c r="H14" s="205">
        <v>0.72</v>
      </c>
      <c r="I14" s="206">
        <v>0.78</v>
      </c>
      <c r="J14" s="207">
        <v>0.72499999999999998</v>
      </c>
      <c r="K14" s="206">
        <v>0.73</v>
      </c>
      <c r="L14" s="207">
        <v>0.73499999999999999</v>
      </c>
      <c r="M14" s="206">
        <v>0.74</v>
      </c>
      <c r="N14" s="207">
        <v>0.745</v>
      </c>
      <c r="O14" s="206">
        <v>0.75</v>
      </c>
      <c r="P14" s="207">
        <v>0.755</v>
      </c>
      <c r="Q14" s="206">
        <v>0.76</v>
      </c>
      <c r="R14" s="207">
        <v>0.76500000000000001</v>
      </c>
      <c r="S14" s="206">
        <v>0.77</v>
      </c>
      <c r="T14" s="207">
        <v>0.77500000000000002</v>
      </c>
      <c r="U14" s="206">
        <v>0.78</v>
      </c>
      <c r="V14" s="93">
        <v>0.8</v>
      </c>
      <c r="W14" s="93">
        <v>0.77500000000000002</v>
      </c>
      <c r="X14" s="94">
        <f t="shared" si="1"/>
        <v>1.032258064516129</v>
      </c>
      <c r="Y14" s="192">
        <f t="shared" si="0"/>
        <v>7</v>
      </c>
    </row>
    <row r="15" spans="1:25">
      <c r="A15" s="306" t="s">
        <v>83</v>
      </c>
      <c r="B15" s="124" t="s">
        <v>192</v>
      </c>
      <c r="C15" s="199">
        <v>3</v>
      </c>
      <c r="D15" s="204" t="s">
        <v>188</v>
      </c>
      <c r="E15" s="207">
        <v>0.7</v>
      </c>
      <c r="F15" s="200">
        <v>1</v>
      </c>
      <c r="G15" s="124" t="s">
        <v>65</v>
      </c>
      <c r="H15" s="208">
        <v>633</v>
      </c>
      <c r="I15" s="208">
        <f>SUM(J15:U15)</f>
        <v>347</v>
      </c>
      <c r="J15" s="208">
        <v>69</v>
      </c>
      <c r="K15" s="209">
        <v>69</v>
      </c>
      <c r="L15" s="209">
        <v>70</v>
      </c>
      <c r="M15" s="209">
        <v>36</v>
      </c>
      <c r="N15" s="209">
        <v>36</v>
      </c>
      <c r="O15" s="209">
        <v>37</v>
      </c>
      <c r="P15" s="209">
        <v>5</v>
      </c>
      <c r="Q15" s="209">
        <v>5</v>
      </c>
      <c r="R15" s="209">
        <v>5</v>
      </c>
      <c r="S15" s="209">
        <v>5</v>
      </c>
      <c r="T15" s="209">
        <v>5</v>
      </c>
      <c r="U15" s="209">
        <v>5</v>
      </c>
      <c r="V15" s="105">
        <v>207</v>
      </c>
      <c r="W15" s="210">
        <v>347</v>
      </c>
      <c r="X15" s="94">
        <f t="shared" si="1"/>
        <v>0.59654178674351588</v>
      </c>
      <c r="Y15" s="192">
        <f t="shared" si="0"/>
        <v>0</v>
      </c>
    </row>
    <row r="16" spans="1:25">
      <c r="A16" s="306"/>
      <c r="B16" s="124" t="s">
        <v>193</v>
      </c>
      <c r="C16" s="199">
        <v>3</v>
      </c>
      <c r="D16" s="204" t="s">
        <v>188</v>
      </c>
      <c r="E16" s="207">
        <v>0.7</v>
      </c>
      <c r="F16" s="200">
        <v>1</v>
      </c>
      <c r="G16" s="124" t="s">
        <v>65</v>
      </c>
      <c r="H16" s="208">
        <f>4535-4541</f>
        <v>-6</v>
      </c>
      <c r="I16" s="208">
        <f>SUM(J16:U16)</f>
        <v>3203</v>
      </c>
      <c r="J16" s="211">
        <v>1050</v>
      </c>
      <c r="K16" s="211">
        <v>800</v>
      </c>
      <c r="L16" s="211">
        <v>453</v>
      </c>
      <c r="M16" s="211">
        <v>150</v>
      </c>
      <c r="N16" s="211">
        <v>150</v>
      </c>
      <c r="O16" s="211">
        <v>200</v>
      </c>
      <c r="P16" s="208">
        <v>200</v>
      </c>
      <c r="Q16" s="208">
        <v>100</v>
      </c>
      <c r="R16" s="208">
        <v>100</v>
      </c>
      <c r="S16" s="208" t="s">
        <v>194</v>
      </c>
      <c r="T16" s="208" t="s">
        <v>194</v>
      </c>
      <c r="U16" s="208" t="s">
        <v>194</v>
      </c>
      <c r="V16" s="212">
        <v>1993</v>
      </c>
      <c r="W16" s="191">
        <v>3203</v>
      </c>
      <c r="X16" s="94">
        <f t="shared" si="1"/>
        <v>0.62222916016234775</v>
      </c>
      <c r="Y16" s="192">
        <f t="shared" si="0"/>
        <v>0</v>
      </c>
    </row>
    <row r="17" spans="1:26">
      <c r="A17" s="306"/>
      <c r="B17" s="124" t="s">
        <v>86</v>
      </c>
      <c r="C17" s="199">
        <v>5</v>
      </c>
      <c r="D17" s="204" t="s">
        <v>188</v>
      </c>
      <c r="E17" s="207">
        <v>0.7</v>
      </c>
      <c r="F17" s="200">
        <v>1</v>
      </c>
      <c r="G17" s="204" t="s">
        <v>65</v>
      </c>
      <c r="H17" s="213">
        <v>0</v>
      </c>
      <c r="I17" s="213">
        <f>SUM(J17:U17)</f>
        <v>20</v>
      </c>
      <c r="J17" s="214">
        <v>1</v>
      </c>
      <c r="K17" s="214"/>
      <c r="L17" s="214"/>
      <c r="M17" s="214"/>
      <c r="N17" s="214"/>
      <c r="O17" s="214">
        <v>7</v>
      </c>
      <c r="P17" s="214"/>
      <c r="Q17" s="214"/>
      <c r="R17" s="214">
        <v>5</v>
      </c>
      <c r="S17" s="214"/>
      <c r="T17" s="214"/>
      <c r="U17" s="215">
        <v>7</v>
      </c>
      <c r="V17" s="100">
        <v>0</v>
      </c>
      <c r="W17" s="191">
        <v>20</v>
      </c>
      <c r="X17" s="94">
        <f t="shared" si="1"/>
        <v>0</v>
      </c>
      <c r="Y17" s="192">
        <f t="shared" si="0"/>
        <v>0</v>
      </c>
    </row>
    <row r="18" spans="1:26">
      <c r="A18" s="306"/>
      <c r="B18" s="124" t="s">
        <v>89</v>
      </c>
      <c r="C18" s="199">
        <v>2</v>
      </c>
      <c r="D18" s="204" t="s">
        <v>188</v>
      </c>
      <c r="E18" s="207">
        <v>0.7</v>
      </c>
      <c r="F18" s="200">
        <v>0.9</v>
      </c>
      <c r="G18" s="204" t="s">
        <v>65</v>
      </c>
      <c r="H18" s="202">
        <v>5.4784780587409498E-3</v>
      </c>
      <c r="I18" s="202">
        <v>0.18</v>
      </c>
      <c r="J18" s="216">
        <v>2.05142110895471E-2</v>
      </c>
      <c r="K18" s="216">
        <v>3.6525767435153303E-2</v>
      </c>
      <c r="L18" s="216">
        <v>5.2397361196329303E-2</v>
      </c>
      <c r="M18" s="216">
        <v>6.7687686484079301E-2</v>
      </c>
      <c r="N18" s="216">
        <v>8.2878784524025695E-2</v>
      </c>
      <c r="O18" s="216">
        <v>9.7931972908941997E-2</v>
      </c>
      <c r="P18" s="216">
        <v>0.112772758129859</v>
      </c>
      <c r="Q18" s="216">
        <v>0.12738187870048101</v>
      </c>
      <c r="R18" s="216">
        <v>0.14180500533127599</v>
      </c>
      <c r="S18" s="216">
        <v>0.15631026187129801</v>
      </c>
      <c r="T18" s="216">
        <v>0.1706688396629</v>
      </c>
      <c r="U18" s="216">
        <v>0.18480138427204101</v>
      </c>
      <c r="V18" s="217">
        <v>0.08</v>
      </c>
      <c r="W18" s="93">
        <v>0.185</v>
      </c>
      <c r="X18" s="94">
        <f t="shared" si="1"/>
        <v>0.43243243243243246</v>
      </c>
      <c r="Y18" s="192">
        <f t="shared" si="0"/>
        <v>0</v>
      </c>
    </row>
    <row r="19" spans="1:26">
      <c r="A19" s="306"/>
      <c r="B19" s="124" t="s">
        <v>195</v>
      </c>
      <c r="C19" s="199">
        <v>3</v>
      </c>
      <c r="D19" s="204" t="s">
        <v>188</v>
      </c>
      <c r="E19" s="207">
        <v>0.7</v>
      </c>
      <c r="F19" s="200">
        <v>1</v>
      </c>
      <c r="G19" s="204" t="s">
        <v>65</v>
      </c>
      <c r="H19" s="218">
        <v>74</v>
      </c>
      <c r="I19" s="218">
        <v>94</v>
      </c>
      <c r="J19" s="218">
        <v>6</v>
      </c>
      <c r="K19" s="218">
        <v>5</v>
      </c>
      <c r="L19" s="218">
        <v>6</v>
      </c>
      <c r="M19" s="218">
        <v>8</v>
      </c>
      <c r="N19" s="218">
        <v>10</v>
      </c>
      <c r="O19" s="218">
        <v>10</v>
      </c>
      <c r="P19" s="218">
        <v>6</v>
      </c>
      <c r="Q19" s="218">
        <v>10</v>
      </c>
      <c r="R19" s="218">
        <v>6</v>
      </c>
      <c r="S19" s="218">
        <v>6</v>
      </c>
      <c r="T19" s="218">
        <v>11</v>
      </c>
      <c r="U19" s="218">
        <v>10</v>
      </c>
      <c r="V19" s="105">
        <v>8</v>
      </c>
      <c r="W19" s="191">
        <v>94</v>
      </c>
      <c r="X19" s="94">
        <f t="shared" si="1"/>
        <v>8.5106382978723402E-2</v>
      </c>
      <c r="Y19" s="192">
        <f t="shared" si="0"/>
        <v>0</v>
      </c>
    </row>
    <row r="20" spans="1:26" s="220" customFormat="1">
      <c r="A20" s="306"/>
      <c r="B20" s="124" t="s">
        <v>196</v>
      </c>
      <c r="C20" s="199">
        <v>2</v>
      </c>
      <c r="D20" s="204" t="s">
        <v>17</v>
      </c>
      <c r="E20" s="207">
        <v>0.7</v>
      </c>
      <c r="F20" s="200">
        <v>0.9</v>
      </c>
      <c r="G20" s="219" t="s">
        <v>65</v>
      </c>
      <c r="H20" s="216">
        <v>2E-3</v>
      </c>
      <c r="I20" s="202">
        <v>0.19</v>
      </c>
      <c r="J20" s="216">
        <v>1.6946659620486401E-2</v>
      </c>
      <c r="K20" s="216">
        <v>3.3192972205443601E-2</v>
      </c>
      <c r="L20" s="216">
        <v>4.9313222339756498E-2</v>
      </c>
      <c r="M20" s="216">
        <v>6.4825548520272405E-2</v>
      </c>
      <c r="N20" s="216">
        <v>8.03128492919509E-2</v>
      </c>
      <c r="O20" s="216">
        <v>9.5646277029639598E-2</v>
      </c>
      <c r="P20" s="216">
        <v>0.110745674817828</v>
      </c>
      <c r="Q20" s="216">
        <v>0.12577718907674501</v>
      </c>
      <c r="R20" s="216">
        <v>0.14065548162562799</v>
      </c>
      <c r="S20" s="216">
        <v>0.15566461500221601</v>
      </c>
      <c r="T20" s="216">
        <v>0.17054188772116399</v>
      </c>
      <c r="U20" s="216">
        <v>0.185193144604373</v>
      </c>
      <c r="V20" s="94">
        <v>0.08</v>
      </c>
      <c r="W20" s="93">
        <v>0.185</v>
      </c>
      <c r="X20" s="94">
        <f t="shared" si="1"/>
        <v>0.43243243243243246</v>
      </c>
      <c r="Y20" s="192">
        <f t="shared" si="0"/>
        <v>0</v>
      </c>
    </row>
    <row r="21" spans="1:26">
      <c r="A21" s="306"/>
      <c r="B21" s="124" t="s">
        <v>197</v>
      </c>
      <c r="C21" s="199">
        <v>5</v>
      </c>
      <c r="D21" s="204" t="s">
        <v>17</v>
      </c>
      <c r="E21" s="207">
        <v>0.7</v>
      </c>
      <c r="F21" s="200">
        <v>1</v>
      </c>
      <c r="G21" s="204" t="s">
        <v>65</v>
      </c>
      <c r="H21" s="196">
        <v>4</v>
      </c>
      <c r="I21" s="196">
        <f>SUM(J21:U21)</f>
        <v>4</v>
      </c>
      <c r="J21" s="197"/>
      <c r="K21" s="197"/>
      <c r="L21" s="197">
        <v>2</v>
      </c>
      <c r="M21" s="197"/>
      <c r="N21" s="197"/>
      <c r="O21" s="197">
        <v>1</v>
      </c>
      <c r="P21" s="197"/>
      <c r="Q21" s="197"/>
      <c r="R21" s="197">
        <v>1</v>
      </c>
      <c r="S21" s="197"/>
      <c r="T21" s="197"/>
      <c r="U21" s="197"/>
      <c r="V21" s="100">
        <v>17</v>
      </c>
      <c r="W21" s="221">
        <v>4</v>
      </c>
      <c r="X21" s="94">
        <f t="shared" si="1"/>
        <v>4.25</v>
      </c>
      <c r="Y21" s="192">
        <f t="shared" si="0"/>
        <v>5</v>
      </c>
    </row>
    <row r="22" spans="1:26" ht="26.5">
      <c r="A22" s="306" t="s">
        <v>198</v>
      </c>
      <c r="B22" s="124" t="s">
        <v>199</v>
      </c>
      <c r="C22" s="199">
        <v>5</v>
      </c>
      <c r="D22" s="222" t="s">
        <v>200</v>
      </c>
      <c r="E22" s="145">
        <v>8.2100000000000006E-2</v>
      </c>
      <c r="F22" s="223">
        <v>1</v>
      </c>
      <c r="G22" s="204" t="s">
        <v>65</v>
      </c>
      <c r="H22" s="224">
        <v>6.5000000000000002E-2</v>
      </c>
      <c r="I22" s="224">
        <v>0.06</v>
      </c>
      <c r="J22" s="145">
        <v>0.08</v>
      </c>
      <c r="K22" s="145">
        <v>0.08</v>
      </c>
      <c r="L22" s="145">
        <v>7.4999999999999997E-2</v>
      </c>
      <c r="M22" s="145">
        <v>7.0000000000000007E-2</v>
      </c>
      <c r="N22" s="145">
        <v>0.06</v>
      </c>
      <c r="O22" s="145">
        <v>0.06</v>
      </c>
      <c r="P22" s="145">
        <v>5.5E-2</v>
      </c>
      <c r="Q22" s="145">
        <v>0.04</v>
      </c>
      <c r="R22" s="145">
        <v>0.05</v>
      </c>
      <c r="S22" s="145">
        <v>0.05</v>
      </c>
      <c r="T22" s="145">
        <v>0.05</v>
      </c>
      <c r="U22" s="145">
        <v>0.06</v>
      </c>
      <c r="V22" s="93">
        <v>4.2999999999999997E-2</v>
      </c>
      <c r="W22" s="93">
        <v>0.06</v>
      </c>
      <c r="X22" s="94">
        <f>IF(V22&gt;8.2%,0,W22/V22)</f>
        <v>1.3953488372093024</v>
      </c>
      <c r="Y22" s="192">
        <f t="shared" si="0"/>
        <v>5</v>
      </c>
    </row>
    <row r="23" spans="1:26" ht="26.5">
      <c r="A23" s="306"/>
      <c r="B23" s="124" t="s">
        <v>201</v>
      </c>
      <c r="C23" s="199">
        <v>3</v>
      </c>
      <c r="D23" s="124" t="s">
        <v>202</v>
      </c>
      <c r="E23" s="145">
        <v>0.75</v>
      </c>
      <c r="F23" s="223">
        <v>1</v>
      </c>
      <c r="G23" s="204" t="s">
        <v>65</v>
      </c>
      <c r="H23" s="224">
        <v>0.99</v>
      </c>
      <c r="I23" s="224">
        <v>0.99</v>
      </c>
      <c r="J23" s="224">
        <v>1</v>
      </c>
      <c r="K23" s="224">
        <v>1</v>
      </c>
      <c r="L23" s="224">
        <v>1</v>
      </c>
      <c r="M23" s="224">
        <v>1</v>
      </c>
      <c r="N23" s="224">
        <v>1</v>
      </c>
      <c r="O23" s="224">
        <v>1</v>
      </c>
      <c r="P23" s="224">
        <v>1</v>
      </c>
      <c r="Q23" s="224">
        <v>1</v>
      </c>
      <c r="R23" s="224">
        <v>1</v>
      </c>
      <c r="S23" s="224">
        <v>1</v>
      </c>
      <c r="T23" s="224">
        <v>1</v>
      </c>
      <c r="U23" s="224">
        <v>1</v>
      </c>
      <c r="V23" s="217">
        <v>1</v>
      </c>
      <c r="W23" s="93">
        <v>1</v>
      </c>
      <c r="X23" s="94">
        <f t="shared" si="1"/>
        <v>1</v>
      </c>
      <c r="Y23" s="192">
        <f t="shared" si="0"/>
        <v>3</v>
      </c>
    </row>
    <row r="24" spans="1:26" ht="26.5">
      <c r="A24" s="194" t="s">
        <v>203</v>
      </c>
      <c r="B24" s="124" t="s">
        <v>204</v>
      </c>
      <c r="C24" s="199">
        <v>10</v>
      </c>
      <c r="D24" s="204" t="s">
        <v>179</v>
      </c>
      <c r="E24" s="207">
        <v>0.7</v>
      </c>
      <c r="F24" s="200">
        <v>1</v>
      </c>
      <c r="G24" s="204" t="s">
        <v>65</v>
      </c>
      <c r="H24" s="215">
        <v>12</v>
      </c>
      <c r="I24" s="215">
        <v>14</v>
      </c>
      <c r="J24" s="215"/>
      <c r="K24" s="215">
        <v>1</v>
      </c>
      <c r="L24" s="215">
        <v>1</v>
      </c>
      <c r="M24" s="215">
        <v>1</v>
      </c>
      <c r="N24" s="215">
        <v>1</v>
      </c>
      <c r="O24" s="215">
        <v>1</v>
      </c>
      <c r="P24" s="215">
        <v>1</v>
      </c>
      <c r="Q24" s="215">
        <v>2</v>
      </c>
      <c r="R24" s="215">
        <v>2</v>
      </c>
      <c r="S24" s="215">
        <v>2</v>
      </c>
      <c r="T24" s="215">
        <v>1</v>
      </c>
      <c r="U24" s="215">
        <v>1</v>
      </c>
      <c r="V24" s="100">
        <v>24</v>
      </c>
      <c r="W24" s="191">
        <v>14</v>
      </c>
      <c r="X24" s="94">
        <f t="shared" si="1"/>
        <v>1.7142857142857142</v>
      </c>
      <c r="Y24" s="192">
        <f t="shared" si="0"/>
        <v>10</v>
      </c>
    </row>
    <row r="25" spans="1:26" s="84" customFormat="1" ht="26.5">
      <c r="A25" s="194" t="s">
        <v>205</v>
      </c>
      <c r="B25" s="124" t="s">
        <v>206</v>
      </c>
      <c r="C25" s="199">
        <v>10</v>
      </c>
      <c r="D25" s="204" t="s">
        <v>207</v>
      </c>
      <c r="E25" s="225">
        <v>1.02</v>
      </c>
      <c r="F25" s="200">
        <v>0.95</v>
      </c>
      <c r="G25" s="226" t="s">
        <v>208</v>
      </c>
      <c r="H25" s="227">
        <v>1767663.3259999999</v>
      </c>
      <c r="I25" s="227">
        <f>SUM(J25:U25)</f>
        <v>2683607.1369329379</v>
      </c>
      <c r="J25" s="228">
        <v>223662.684652578</v>
      </c>
      <c r="K25" s="228">
        <v>223662.684652578</v>
      </c>
      <c r="L25" s="228">
        <v>223605.097832578</v>
      </c>
      <c r="M25" s="228">
        <v>223662.588872578</v>
      </c>
      <c r="N25" s="228">
        <v>223602.94490257799</v>
      </c>
      <c r="O25" s="228">
        <v>228489.72477458001</v>
      </c>
      <c r="P25" s="228">
        <v>223586.86703257801</v>
      </c>
      <c r="Q25" s="228">
        <v>223393.448072578</v>
      </c>
      <c r="R25" s="228">
        <v>223266.98535257799</v>
      </c>
      <c r="S25" s="229">
        <v>222230.95869257799</v>
      </c>
      <c r="T25" s="229">
        <v>222246.81738257801</v>
      </c>
      <c r="U25" s="229">
        <v>222196.33471257801</v>
      </c>
      <c r="V25" s="230">
        <f>3194030567.96/1000</f>
        <v>3194030.5679600001</v>
      </c>
      <c r="W25" s="191">
        <v>2683607.1369329402</v>
      </c>
      <c r="X25" s="94">
        <f t="shared" si="1"/>
        <v>1.1902005043891843</v>
      </c>
      <c r="Y25" s="192">
        <f>IF(V25=0,"-",IF(X25&lt;=E25,MIN(MAX((E25-X25)*(C25/(E25-F25)),0),C25),0))</f>
        <v>0</v>
      </c>
      <c r="Z25" s="179" t="s">
        <v>148</v>
      </c>
    </row>
    <row r="26" spans="1:26" ht="26.5">
      <c r="A26" s="194" t="s">
        <v>209</v>
      </c>
      <c r="B26" s="124" t="s">
        <v>210</v>
      </c>
      <c r="C26" s="199">
        <v>1</v>
      </c>
      <c r="D26" s="89" t="s">
        <v>17</v>
      </c>
      <c r="E26" s="90">
        <v>1</v>
      </c>
      <c r="F26" s="121">
        <v>1</v>
      </c>
      <c r="G26" s="89" t="s">
        <v>18</v>
      </c>
      <c r="H26" s="116" t="s">
        <v>146</v>
      </c>
      <c r="I26" s="116" t="s">
        <v>146</v>
      </c>
      <c r="J26" s="116" t="s">
        <v>146</v>
      </c>
      <c r="K26" s="116" t="s">
        <v>146</v>
      </c>
      <c r="L26" s="116" t="s">
        <v>146</v>
      </c>
      <c r="M26" s="116" t="s">
        <v>146</v>
      </c>
      <c r="N26" s="116" t="s">
        <v>146</v>
      </c>
      <c r="O26" s="116" t="s">
        <v>146</v>
      </c>
      <c r="P26" s="116" t="s">
        <v>146</v>
      </c>
      <c r="Q26" s="116" t="s">
        <v>146</v>
      </c>
      <c r="R26" s="116" t="s">
        <v>146</v>
      </c>
      <c r="S26" s="116" t="s">
        <v>146</v>
      </c>
      <c r="T26" s="116" t="s">
        <v>146</v>
      </c>
      <c r="U26" s="116" t="s">
        <v>146</v>
      </c>
      <c r="V26" s="93">
        <v>0.04</v>
      </c>
      <c r="W26" s="93">
        <v>2.5000000000000001E-2</v>
      </c>
      <c r="X26" s="117">
        <f>IF(V26=0,1,IF(V26="",0,IFERROR(W26/V26,0)))</f>
        <v>0.625</v>
      </c>
      <c r="Y26" s="192">
        <f>IF(X26&gt;=1,C26,0)</f>
        <v>0</v>
      </c>
      <c r="Z26" s="179" t="s">
        <v>144</v>
      </c>
    </row>
    <row r="27" spans="1:26" ht="26.5">
      <c r="A27" s="194" t="s">
        <v>211</v>
      </c>
      <c r="B27" s="124" t="s">
        <v>212</v>
      </c>
      <c r="C27" s="199">
        <v>3</v>
      </c>
      <c r="D27" s="124" t="s">
        <v>48</v>
      </c>
      <c r="E27" s="145">
        <f>H27</f>
        <v>0.7228</v>
      </c>
      <c r="F27" s="121">
        <v>1</v>
      </c>
      <c r="G27" s="89" t="s">
        <v>130</v>
      </c>
      <c r="H27" s="207">
        <v>0.7228</v>
      </c>
      <c r="I27" s="90">
        <v>0.73</v>
      </c>
      <c r="J27" s="231">
        <v>0.73</v>
      </c>
      <c r="K27" s="231">
        <v>0.73</v>
      </c>
      <c r="L27" s="231">
        <v>0.73</v>
      </c>
      <c r="M27" s="231">
        <v>0.73</v>
      </c>
      <c r="N27" s="231">
        <v>0.73</v>
      </c>
      <c r="O27" s="231">
        <v>0.73</v>
      </c>
      <c r="P27" s="231">
        <v>0.73</v>
      </c>
      <c r="Q27" s="231">
        <v>0.73</v>
      </c>
      <c r="R27" s="231">
        <v>0.73</v>
      </c>
      <c r="S27" s="231">
        <v>0.73</v>
      </c>
      <c r="T27" s="231">
        <v>0.73</v>
      </c>
      <c r="U27" s="231">
        <v>0.73</v>
      </c>
      <c r="V27" s="94">
        <v>0.70699999999999996</v>
      </c>
      <c r="W27" s="93">
        <f>U27</f>
        <v>0.73</v>
      </c>
      <c r="X27" s="94">
        <f>IFERROR(V27/W27,0)</f>
        <v>0.96849315068493147</v>
      </c>
      <c r="Y27" s="192">
        <f>IF(X27&gt;=E27,MIN((X27-E27)*(C27/(F27-E27)),C27),0)</f>
        <v>2.6590167823044535</v>
      </c>
      <c r="Z27" s="75" t="s">
        <v>173</v>
      </c>
    </row>
    <row r="28" spans="1:26" ht="52.5">
      <c r="A28" s="194" t="s">
        <v>107</v>
      </c>
      <c r="B28" s="124" t="s">
        <v>213</v>
      </c>
      <c r="C28" s="199">
        <v>1</v>
      </c>
      <c r="D28" s="204" t="s">
        <v>17</v>
      </c>
      <c r="E28" s="207">
        <v>0.7</v>
      </c>
      <c r="F28" s="200">
        <v>1</v>
      </c>
      <c r="G28" s="204" t="s">
        <v>65</v>
      </c>
      <c r="H28" s="196" t="s">
        <v>194</v>
      </c>
      <c r="I28" s="196">
        <f>SUM(J28:U28)</f>
        <v>14</v>
      </c>
      <c r="J28" s="232">
        <v>2</v>
      </c>
      <c r="K28" s="232">
        <v>1</v>
      </c>
      <c r="L28" s="232">
        <v>1</v>
      </c>
      <c r="M28" s="232">
        <v>1</v>
      </c>
      <c r="N28" s="232">
        <v>1</v>
      </c>
      <c r="O28" s="232">
        <v>2</v>
      </c>
      <c r="P28" s="232">
        <v>1</v>
      </c>
      <c r="Q28" s="232">
        <v>1</v>
      </c>
      <c r="R28" s="232">
        <v>1</v>
      </c>
      <c r="S28" s="232">
        <v>1</v>
      </c>
      <c r="T28" s="232">
        <v>1</v>
      </c>
      <c r="U28" s="232">
        <v>1</v>
      </c>
      <c r="V28" s="100">
        <v>15</v>
      </c>
      <c r="W28" s="191">
        <f>SUM(J28:U28)</f>
        <v>14</v>
      </c>
      <c r="X28" s="94">
        <f>IFERROR(V28/W28,0)</f>
        <v>1.0714285714285714</v>
      </c>
      <c r="Y28" s="192">
        <f>IF(X28&gt;=E28,MIN((X28-E28)*(C28/(F28-E28)),C28),0)</f>
        <v>1</v>
      </c>
    </row>
    <row r="29" spans="1:26" ht="26.5">
      <c r="A29" s="293" t="s">
        <v>174</v>
      </c>
      <c r="B29" s="124" t="s">
        <v>214</v>
      </c>
      <c r="C29" s="199">
        <v>1</v>
      </c>
      <c r="D29" s="124" t="s">
        <v>48</v>
      </c>
      <c r="E29" s="145">
        <f>H29</f>
        <v>0.79100000000000004</v>
      </c>
      <c r="F29" s="121">
        <v>1</v>
      </c>
      <c r="G29" s="89" t="s">
        <v>130</v>
      </c>
      <c r="H29" s="207">
        <v>0.79100000000000004</v>
      </c>
      <c r="I29" s="216">
        <v>0.8</v>
      </c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>
        <v>0.8</v>
      </c>
      <c r="V29" s="93">
        <v>0.85</v>
      </c>
      <c r="W29" s="93">
        <f>U29</f>
        <v>0.8</v>
      </c>
      <c r="X29" s="94">
        <f>IFERROR(V29/W29,0)</f>
        <v>1.0625</v>
      </c>
      <c r="Y29" s="192">
        <f>IF(X29&gt;=E29,MIN((X29-E29)*(C29/(F29-E29)),C29),0)</f>
        <v>1</v>
      </c>
      <c r="Z29" s="75" t="s">
        <v>173</v>
      </c>
    </row>
    <row r="30" spans="1:26" ht="26.5">
      <c r="A30" s="293"/>
      <c r="B30" s="124" t="s">
        <v>215</v>
      </c>
      <c r="C30" s="199">
        <v>1</v>
      </c>
      <c r="D30" s="124" t="s">
        <v>48</v>
      </c>
      <c r="E30" s="145">
        <f>H30</f>
        <v>0.75</v>
      </c>
      <c r="F30" s="121">
        <v>1</v>
      </c>
      <c r="G30" s="89" t="s">
        <v>130</v>
      </c>
      <c r="H30" s="207">
        <v>0.75</v>
      </c>
      <c r="I30" s="216">
        <v>0.75</v>
      </c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>
        <v>0.75</v>
      </c>
      <c r="V30" s="93">
        <v>0.91100000000000003</v>
      </c>
      <c r="W30" s="93">
        <f>U30</f>
        <v>0.75</v>
      </c>
      <c r="X30" s="94">
        <f>IFERROR(V30/W30,0)</f>
        <v>1.2146666666666668</v>
      </c>
      <c r="Y30" s="192">
        <f>IF(X30&gt;=E30,MIN((X30-E30)*(C30/(F30-E30)),C30),0)</f>
        <v>1</v>
      </c>
      <c r="Z30" s="75" t="s">
        <v>173</v>
      </c>
    </row>
    <row r="31" spans="1:26" s="76" customFormat="1">
      <c r="A31" s="233"/>
      <c r="B31" s="234" t="s">
        <v>53</v>
      </c>
      <c r="C31" s="235">
        <f>SUM(C7:C30)</f>
        <v>100</v>
      </c>
      <c r="D31" s="236"/>
      <c r="E31" s="237"/>
      <c r="F31" s="236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238"/>
      <c r="W31" s="154"/>
      <c r="X31" s="154"/>
      <c r="Y31" s="108">
        <f>SUM(Y7:Y30)</f>
        <v>61.614102559226986</v>
      </c>
      <c r="Z31" s="239"/>
    </row>
    <row r="32" spans="1:26">
      <c r="A32" s="308" t="s">
        <v>216</v>
      </c>
      <c r="B32" s="308"/>
      <c r="C32" s="308"/>
      <c r="D32" s="308"/>
      <c r="E32" s="308"/>
      <c r="F32" s="308"/>
      <c r="G32" s="308"/>
      <c r="H32" s="308"/>
      <c r="I32" s="308"/>
      <c r="J32" s="308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309" t="s">
        <v>112</v>
      </c>
      <c r="W32" s="285"/>
      <c r="X32" s="286"/>
      <c r="Y32" s="161">
        <f>Y38*0.7</f>
        <v>43.129871791458889</v>
      </c>
    </row>
    <row r="33" spans="1:26" ht="14.5">
      <c r="A33" s="310" t="s">
        <v>113</v>
      </c>
      <c r="B33" s="311"/>
      <c r="C33" s="311"/>
      <c r="D33" s="311"/>
      <c r="E33" s="311"/>
      <c r="F33" s="311"/>
      <c r="G33" s="158"/>
      <c r="H33" s="158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312" t="s">
        <v>56</v>
      </c>
      <c r="W33" s="277"/>
      <c r="X33" s="278"/>
      <c r="Y33" s="161">
        <f>[2]CBE!$AD$59</f>
        <v>71.233221630678898</v>
      </c>
    </row>
    <row r="34" spans="1:26">
      <c r="A34" s="160"/>
      <c r="B34" s="103"/>
      <c r="C34" s="103"/>
      <c r="D34" s="103"/>
      <c r="E34" s="159"/>
      <c r="F34" s="158"/>
      <c r="G34" s="158"/>
      <c r="H34" s="158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312" t="s">
        <v>114</v>
      </c>
      <c r="W34" s="277"/>
      <c r="X34" s="278"/>
      <c r="Y34" s="161">
        <f>Y33*0.3</f>
        <v>21.369966489203669</v>
      </c>
    </row>
    <row r="35" spans="1:26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76"/>
      <c r="L35" s="241"/>
      <c r="M35" s="241"/>
      <c r="N35" s="314"/>
      <c r="O35" s="314"/>
      <c r="P35" s="314"/>
      <c r="Q35" s="314"/>
      <c r="R35" s="314"/>
      <c r="S35" s="314"/>
      <c r="T35" s="314"/>
      <c r="U35" s="314"/>
      <c r="V35" s="312" t="s">
        <v>58</v>
      </c>
      <c r="W35" s="277"/>
      <c r="X35" s="278"/>
      <c r="Y35" s="161">
        <f>Y32+Y34</f>
        <v>64.499838280662559</v>
      </c>
      <c r="Z35" s="176" t="s">
        <v>59</v>
      </c>
    </row>
    <row r="36" spans="1:26">
      <c r="A36" s="77"/>
      <c r="B36" s="76"/>
      <c r="C36" s="76"/>
      <c r="D36" s="79"/>
      <c r="E36" s="80"/>
      <c r="F36" s="79"/>
      <c r="G36" s="79"/>
      <c r="T36" s="76"/>
      <c r="U36" s="76"/>
      <c r="V36" s="242"/>
      <c r="Y36" s="178"/>
    </row>
    <row r="37" spans="1:26">
      <c r="A37" s="177"/>
      <c r="B37" s="76"/>
      <c r="C37" s="76"/>
      <c r="D37" s="76"/>
      <c r="E37" s="80"/>
      <c r="F37" s="79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289" t="s">
        <v>60</v>
      </c>
      <c r="W37" s="290"/>
      <c r="X37" s="291"/>
      <c r="Y37" s="180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76"/>
      <c r="L38" s="76"/>
      <c r="M38" s="76"/>
      <c r="N38" s="307"/>
      <c r="O38" s="307"/>
      <c r="P38" s="307"/>
      <c r="Q38" s="307"/>
      <c r="R38" s="307"/>
      <c r="S38" s="307"/>
      <c r="T38" s="307"/>
      <c r="U38" s="307"/>
      <c r="V38" s="289" t="s">
        <v>61</v>
      </c>
      <c r="W38" s="290"/>
      <c r="X38" s="179"/>
      <c r="Y38" s="243">
        <f>(Y31*100)/(100-Y37)</f>
        <v>61.614102559226986</v>
      </c>
    </row>
    <row r="39" spans="1:26">
      <c r="C39" s="75"/>
      <c r="D39" s="75"/>
      <c r="G39" s="75"/>
    </row>
  </sheetData>
  <mergeCells count="28">
    <mergeCell ref="V37:X37"/>
    <mergeCell ref="A38:J38"/>
    <mergeCell ref="N38:U38"/>
    <mergeCell ref="V38:W38"/>
    <mergeCell ref="A32:J32"/>
    <mergeCell ref="V32:X32"/>
    <mergeCell ref="A33:F33"/>
    <mergeCell ref="V33:X33"/>
    <mergeCell ref="V34:X34"/>
    <mergeCell ref="A35:J35"/>
    <mergeCell ref="N35:U35"/>
    <mergeCell ref="V35:X35"/>
    <mergeCell ref="A29:A30"/>
    <mergeCell ref="A1:Y1"/>
    <mergeCell ref="A2:Y2"/>
    <mergeCell ref="A3:Y3"/>
    <mergeCell ref="A5:A6"/>
    <mergeCell ref="B5:B6"/>
    <mergeCell ref="C5:C6"/>
    <mergeCell ref="D5:E6"/>
    <mergeCell ref="F5:G6"/>
    <mergeCell ref="H5:H6"/>
    <mergeCell ref="I5:I6"/>
    <mergeCell ref="J5:U5"/>
    <mergeCell ref="V5:Y5"/>
    <mergeCell ref="A10:A14"/>
    <mergeCell ref="A15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RBB 2025.2026</vt:lpstr>
      <vt:lpstr>Digital 2025.2026</vt:lpstr>
      <vt:lpstr>RBB 2024.2025</vt:lpstr>
      <vt:lpstr>Digital 2024.2025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Getu Abayneh Abdo</dc:creator>
  <cp:lastModifiedBy>Marta Assefa</cp:lastModifiedBy>
  <dcterms:created xsi:type="dcterms:W3CDTF">2026-03-23T11:49:30Z</dcterms:created>
  <dcterms:modified xsi:type="dcterms:W3CDTF">2026-05-07T06:05:00Z</dcterms:modified>
</cp:coreProperties>
</file>